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hidePivotFieldList="1" defaultThemeVersion="166925"/>
  <mc:AlternateContent xmlns:mc="http://schemas.openxmlformats.org/markup-compatibility/2006">
    <mc:Choice Requires="x15">
      <x15ac:absPath xmlns:x15ac="http://schemas.microsoft.com/office/spreadsheetml/2010/11/ac" url="https://netorgft1337197.sharepoint.com/sites/Mobileum/Shared Documents/CRP &amp; UAT Tracker/"/>
    </mc:Choice>
  </mc:AlternateContent>
  <xr:revisionPtr revIDLastSave="0" documentId="8_{B4C74FF3-F4DE-4583-8E41-0AD2C4042F4D}" xr6:coauthVersionLast="47" xr6:coauthVersionMax="47" xr10:uidLastSave="{00000000-0000-0000-0000-000000000000}"/>
  <bookViews>
    <workbookView xWindow="-110" yWindow="-110" windowWidth="19420" windowHeight="10300" firstSheet="4" activeTab="4" xr2:uid="{D2D35F15-35E1-49F6-818B-3516A8E3EC03}"/>
  </bookViews>
  <sheets>
    <sheet name="UAT" sheetId="4" state="hidden" r:id="rId1"/>
    <sheet name="Use Case Summary" sheetId="10" r:id="rId2"/>
    <sheet name="Sheet2" sheetId="8" state="hidden" r:id="rId3"/>
    <sheet name="CRP Tracker" sheetId="12" r:id="rId4"/>
    <sheet name="CRP Action Items" sheetId="19" r:id="rId5"/>
    <sheet name="EFT Tracking" sheetId="20" r:id="rId6"/>
    <sheet name="PR COGS Approvals" sheetId="16" r:id="rId7"/>
    <sheet name="Saved Search" sheetId="13" r:id="rId8"/>
    <sheet name="Dashboard - Publish" sheetId="14" r:id="rId9"/>
    <sheet name="last Published date" sheetId="15" r:id="rId10"/>
    <sheet name="CRP related master data" sheetId="17" r:id="rId11"/>
    <sheet name="Sheet3" sheetId="18" r:id="rId12"/>
    <sheet name="Use Cases" sheetId="6" r:id="rId13"/>
  </sheets>
  <definedNames>
    <definedName name="_xlnm._FilterDatabase" localSheetId="4" hidden="1">'CRP Action Items'!$A$1:$I$114</definedName>
    <definedName name="_xlnm._FilterDatabase" localSheetId="12" hidden="1">'Use Cases'!$A$1:$S$349</definedName>
    <definedName name="_xlnm._FilterDatabase" localSheetId="3" hidden="1">'CRP Tracker'!$A$1:$S$376</definedName>
  </definedNames>
  <calcPr calcId="191028"/>
  <pivotCaches>
    <pivotCache cacheId="4564" r:id="rId14"/>
    <pivotCache cacheId="4565" r:id="rId15"/>
    <pivotCache cacheId="4566" r:id="rId16"/>
    <pivotCache cacheId="4567"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4" i="6" l="1"/>
  <c r="G284" i="6"/>
  <c r="H283" i="6"/>
  <c r="G283" i="6"/>
  <c r="H282" i="6"/>
  <c r="G282" i="6"/>
  <c r="H281" i="6"/>
  <c r="G281" i="6"/>
  <c r="H280" i="6"/>
  <c r="G280" i="6"/>
  <c r="H279" i="6"/>
  <c r="G279" i="6"/>
  <c r="H278" i="6"/>
  <c r="G278" i="6"/>
  <c r="H277" i="6"/>
  <c r="G277" i="6"/>
  <c r="H276" i="6"/>
  <c r="G276" i="6"/>
  <c r="H275" i="6"/>
  <c r="G275" i="6"/>
  <c r="H274" i="6"/>
  <c r="G274" i="6"/>
  <c r="H273" i="6"/>
  <c r="H272" i="6"/>
  <c r="H271" i="6"/>
  <c r="H269" i="6"/>
  <c r="H268" i="6"/>
  <c r="H267" i="6"/>
  <c r="H265" i="6"/>
  <c r="H264" i="6"/>
  <c r="H263" i="6"/>
  <c r="H262" i="6"/>
  <c r="H260" i="6"/>
  <c r="H259" i="6"/>
  <c r="H258" i="6"/>
  <c r="H256" i="6"/>
  <c r="H255" i="6"/>
  <c r="H254" i="6"/>
  <c r="H252" i="6"/>
  <c r="H251" i="6"/>
  <c r="H250" i="6"/>
  <c r="H248" i="6"/>
  <c r="H247" i="6"/>
  <c r="H246" i="6"/>
  <c r="H244" i="6"/>
  <c r="H243" i="6"/>
  <c r="H242" i="6"/>
  <c r="H241" i="6"/>
  <c r="H239" i="6"/>
  <c r="H238" i="6"/>
  <c r="H237" i="6"/>
  <c r="H235" i="6"/>
  <c r="H234" i="6"/>
  <c r="H233" i="6"/>
  <c r="H231" i="6"/>
  <c r="H230" i="6"/>
  <c r="H229" i="6"/>
  <c r="H228" i="6"/>
  <c r="H226" i="6"/>
  <c r="H225" i="6"/>
  <c r="H224" i="6"/>
  <c r="H222" i="6"/>
  <c r="H221" i="6"/>
  <c r="H220" i="6"/>
  <c r="H218" i="6"/>
  <c r="H217" i="6"/>
  <c r="H216" i="6"/>
  <c r="H215" i="6"/>
  <c r="H213" i="6"/>
  <c r="H212" i="6"/>
  <c r="H211" i="6"/>
  <c r="H209" i="6"/>
  <c r="H208" i="6"/>
  <c r="H207" i="6"/>
  <c r="H205" i="6"/>
  <c r="H204" i="6"/>
  <c r="H203" i="6"/>
  <c r="H202" i="6"/>
  <c r="H146" i="6"/>
  <c r="G146" i="6"/>
  <c r="H145" i="6"/>
  <c r="G145" i="6"/>
  <c r="H144" i="6"/>
  <c r="G144" i="6"/>
  <c r="H143" i="6"/>
  <c r="G143" i="6"/>
  <c r="H142" i="6"/>
  <c r="G142" i="6"/>
  <c r="H141" i="6"/>
  <c r="G141" i="6"/>
  <c r="H140" i="6"/>
  <c r="G140" i="6"/>
  <c r="H139" i="6"/>
  <c r="G139" i="6"/>
  <c r="H138" i="6"/>
  <c r="G138" i="6"/>
  <c r="H137" i="6"/>
  <c r="G137" i="6"/>
  <c r="H136" i="6"/>
  <c r="G136" i="6"/>
  <c r="H135" i="6"/>
  <c r="H134" i="6"/>
  <c r="H133" i="6"/>
  <c r="H131" i="6"/>
  <c r="H130" i="6"/>
  <c r="H129" i="6"/>
  <c r="H127" i="6"/>
  <c r="H126" i="6"/>
  <c r="H125" i="6"/>
  <c r="H124" i="6"/>
  <c r="H122" i="6"/>
  <c r="H121" i="6"/>
  <c r="H120" i="6"/>
  <c r="H118" i="6"/>
  <c r="H117" i="6"/>
  <c r="H116" i="6"/>
  <c r="H114" i="6"/>
  <c r="H113" i="6"/>
  <c r="H112" i="6"/>
  <c r="H110" i="6"/>
  <c r="H109" i="6"/>
  <c r="H108" i="6"/>
  <c r="H106" i="6"/>
  <c r="H105" i="6"/>
  <c r="H104" i="6"/>
  <c r="H103" i="6"/>
  <c r="H101" i="6"/>
  <c r="H100" i="6"/>
  <c r="H99" i="6"/>
  <c r="H97" i="6"/>
  <c r="H96" i="6"/>
  <c r="H95" i="6"/>
  <c r="H93" i="6"/>
  <c r="H92" i="6"/>
  <c r="H91" i="6"/>
  <c r="H90" i="6"/>
  <c r="H88" i="6"/>
  <c r="H87" i="6"/>
  <c r="H86" i="6"/>
  <c r="H84" i="6"/>
  <c r="H83" i="6"/>
  <c r="H82" i="6"/>
  <c r="H80" i="6"/>
  <c r="H79" i="6"/>
  <c r="H78" i="6"/>
  <c r="H77" i="6"/>
  <c r="H75" i="6"/>
  <c r="H74" i="6"/>
  <c r="H73" i="6"/>
  <c r="H71" i="6"/>
  <c r="H70" i="6"/>
  <c r="H69" i="6"/>
  <c r="H67" i="6"/>
  <c r="H66" i="6"/>
  <c r="H65" i="6"/>
  <c r="H64" i="6"/>
  <c r="H43" i="6"/>
  <c r="G43" i="6"/>
  <c r="H42" i="6"/>
  <c r="G42" i="6"/>
  <c r="H41" i="6"/>
  <c r="G41" i="6"/>
  <c r="H40" i="6"/>
  <c r="G40" i="6"/>
  <c r="H39" i="6"/>
  <c r="G39" i="6"/>
  <c r="H38" i="6"/>
  <c r="G38" i="6"/>
  <c r="H37" i="6"/>
  <c r="G37" i="6"/>
  <c r="H36" i="6"/>
  <c r="G36" i="6"/>
  <c r="H35" i="6"/>
  <c r="G35" i="6"/>
  <c r="H34" i="6"/>
  <c r="G34" i="6"/>
  <c r="H33" i="6"/>
  <c r="G33" i="6"/>
  <c r="H32" i="6"/>
  <c r="G32" i="6"/>
  <c r="H273" i="12"/>
  <c r="H272" i="12"/>
  <c r="H271" i="12"/>
  <c r="H269" i="12"/>
  <c r="H268" i="12"/>
  <c r="H267" i="12"/>
  <c r="H265" i="12"/>
  <c r="H264" i="12"/>
  <c r="H263" i="12"/>
  <c r="H262" i="12"/>
  <c r="H260" i="12"/>
  <c r="H259" i="12"/>
  <c r="H258" i="12"/>
  <c r="H256" i="12"/>
  <c r="H255" i="12"/>
  <c r="H254" i="12"/>
  <c r="H252" i="12"/>
  <c r="H251" i="12"/>
  <c r="H250" i="12"/>
  <c r="H248" i="12"/>
  <c r="H247" i="12"/>
  <c r="H246" i="12"/>
  <c r="H244" i="12"/>
  <c r="H243" i="12"/>
  <c r="H242" i="12"/>
  <c r="H241" i="12"/>
  <c r="H239" i="12"/>
  <c r="H238" i="12"/>
  <c r="H237" i="12"/>
  <c r="H235" i="12"/>
  <c r="H234" i="12"/>
  <c r="H233" i="12"/>
  <c r="H231" i="12"/>
  <c r="H230" i="12"/>
  <c r="H229" i="12"/>
  <c r="H228" i="12"/>
  <c r="H226" i="12"/>
  <c r="H225" i="12"/>
  <c r="H224" i="12"/>
  <c r="H222" i="12"/>
  <c r="H221" i="12"/>
  <c r="H220" i="12"/>
  <c r="H218" i="12"/>
  <c r="H217" i="12"/>
  <c r="H216" i="12"/>
  <c r="H215" i="12"/>
  <c r="H213" i="12"/>
  <c r="H212" i="12"/>
  <c r="H211" i="12"/>
  <c r="H209" i="12"/>
  <c r="H208" i="12"/>
  <c r="H207" i="12"/>
  <c r="H205" i="12"/>
  <c r="H204" i="12"/>
  <c r="H203" i="12"/>
  <c r="H202" i="12"/>
  <c r="H129" i="12"/>
  <c r="H130" i="12"/>
  <c r="H131" i="12"/>
  <c r="H133" i="12"/>
  <c r="H134" i="12"/>
  <c r="H135" i="12"/>
  <c r="H112" i="12"/>
  <c r="H113" i="12"/>
  <c r="H114" i="12"/>
  <c r="H284" i="12"/>
  <c r="G284" i="12"/>
  <c r="H283" i="12"/>
  <c r="G283" i="12"/>
  <c r="H282" i="12"/>
  <c r="G282" i="12"/>
  <c r="H281" i="12"/>
  <c r="G281" i="12"/>
  <c r="H280" i="12"/>
  <c r="G280" i="12"/>
  <c r="H279" i="12"/>
  <c r="G279" i="12"/>
  <c r="H278" i="12"/>
  <c r="G278" i="12"/>
  <c r="H277" i="12"/>
  <c r="G277" i="12"/>
  <c r="H276" i="12"/>
  <c r="G276" i="12"/>
  <c r="H275" i="12"/>
  <c r="G275" i="12"/>
  <c r="H274" i="12"/>
  <c r="G274" i="12"/>
  <c r="G140" i="12"/>
  <c r="H146" i="12"/>
  <c r="G146" i="12"/>
  <c r="H145" i="12"/>
  <c r="G145" i="12"/>
  <c r="H144" i="12"/>
  <c r="G144" i="12"/>
  <c r="H143" i="12"/>
  <c r="G143" i="12"/>
  <c r="H142" i="12"/>
  <c r="G142" i="12"/>
  <c r="H141" i="12"/>
  <c r="G141" i="12"/>
  <c r="H140" i="12"/>
  <c r="H139" i="12"/>
  <c r="G139" i="12"/>
  <c r="H138" i="12"/>
  <c r="G138" i="12"/>
  <c r="H137" i="12"/>
  <c r="G137" i="12"/>
  <c r="H136" i="12"/>
  <c r="G136" i="12"/>
  <c r="H43" i="12"/>
  <c r="H42" i="12"/>
  <c r="H41" i="12"/>
  <c r="H40" i="12"/>
  <c r="H39" i="12"/>
  <c r="H38" i="12"/>
  <c r="H37" i="12"/>
  <c r="H36" i="12"/>
  <c r="H35" i="12"/>
  <c r="H34" i="12"/>
  <c r="H33" i="12"/>
  <c r="H32" i="12"/>
  <c r="G43" i="12"/>
  <c r="G42" i="12"/>
  <c r="G41" i="12"/>
  <c r="G40" i="12"/>
  <c r="G39" i="12"/>
  <c r="G38" i="12"/>
  <c r="G37" i="12"/>
  <c r="G36" i="12"/>
  <c r="G35" i="12"/>
  <c r="G34" i="12"/>
  <c r="G33" i="12"/>
  <c r="G32" i="12"/>
  <c r="H127" i="12"/>
  <c r="H126" i="12"/>
  <c r="H125" i="12"/>
  <c r="H124" i="12"/>
  <c r="H122" i="12"/>
  <c r="H121" i="12"/>
  <c r="H120" i="12"/>
  <c r="H118" i="12"/>
  <c r="H117" i="12"/>
  <c r="H116" i="12"/>
  <c r="H110" i="12"/>
  <c r="H109" i="12"/>
  <c r="H108" i="12"/>
  <c r="H106" i="12"/>
  <c r="H105" i="12"/>
  <c r="H104" i="12"/>
  <c r="H103" i="12"/>
  <c r="H101" i="12"/>
  <c r="H100" i="12"/>
  <c r="H99" i="12"/>
  <c r="H97" i="12"/>
  <c r="H96" i="12"/>
  <c r="H95" i="12"/>
  <c r="H93" i="12"/>
  <c r="H92" i="12"/>
  <c r="H91" i="12"/>
  <c r="H90" i="12"/>
  <c r="H88" i="12"/>
  <c r="H87" i="12"/>
  <c r="H86" i="12"/>
  <c r="H84" i="12"/>
  <c r="H83" i="12"/>
  <c r="H82" i="12"/>
  <c r="H80" i="12"/>
  <c r="H79" i="12"/>
  <c r="H78" i="12"/>
  <c r="H77" i="12"/>
  <c r="H75" i="12"/>
  <c r="H74" i="12"/>
  <c r="H73" i="12"/>
  <c r="H71" i="12"/>
  <c r="H70" i="12"/>
  <c r="H69" i="12"/>
  <c r="H67" i="12"/>
  <c r="H66" i="12"/>
  <c r="H65" i="12"/>
  <c r="H6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tc={2AB521EF-4070-4C84-91EF-8E6A837657CA}</author>
  </authors>
  <commentList>
    <comment ref="H27" authorId="0" shapeId="0" xr:uid="{2AB521EF-4070-4C84-91EF-8E6A837657CA}">
      <text>
        <t>[Threaded comment]
Your version of Excel allows you to read this threaded comment; however, any edits to it will get removed if the file is opened in a newer version of Excel. Learn more: https://go.microsoft.com/fwlink/?linkid=870924
Comment:
    Do we need to show next approver somewhere to show who approved and who has to approve next?
Approval state is always pending approval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tc={E1596207-E9B6-4633-BD28-50986C6365AB}</author>
  </authors>
  <commentList>
    <comment ref="H27" authorId="0" shapeId="0" xr:uid="{E1596207-E9B6-4633-BD28-50986C6365AB}">
      <text>
        <t>[Threaded comment]
Your version of Excel allows you to read this threaded comment; however, any edits to it will get removed if the file is opened in a newer version of Excel. Learn more: https://go.microsoft.com/fwlink/?linkid=870924
Comment:
    Do we need to show next approver somewhere to show who approved and who has to approve next?
Approval state is always pending approval</t>
      </text>
    </comment>
  </commentList>
</comments>
</file>

<file path=xl/sharedStrings.xml><?xml version="1.0" encoding="utf-8"?>
<sst xmlns="http://schemas.openxmlformats.org/spreadsheetml/2006/main" count="4682" uniqueCount="1194">
  <si>
    <t>Case #</t>
  </si>
  <si>
    <t>Scenario</t>
  </si>
  <si>
    <t>Role</t>
  </si>
  <si>
    <t>Step #</t>
  </si>
  <si>
    <t>Step Name</t>
  </si>
  <si>
    <t>Step Instructions</t>
  </si>
  <si>
    <t>Verification</t>
  </si>
  <si>
    <t>Pass/Fail</t>
  </si>
  <si>
    <t>Issue #</t>
  </si>
  <si>
    <t>User</t>
  </si>
  <si>
    <t>Iteration</t>
  </si>
  <si>
    <t>Transaction #</t>
  </si>
  <si>
    <t>Notes</t>
  </si>
  <si>
    <t>Reach Comments</t>
  </si>
  <si>
    <t>Procure to Pay: Purchase Order, ase Order &amp; Tagging Estimate Landed Cost, Sales order, Item receipt, Item Receipts &amp; Actual Landed Cost, Vendor Bills, Vendor Payment, Bill Credits, Vendor Prepayments.​</t>
  </si>
  <si>
    <t>Procure to Pay: Create Purchase Order</t>
  </si>
  <si>
    <t>Creating Purchase Order</t>
  </si>
  <si>
    <t>P2P01</t>
  </si>
  <si>
    <t>Create a Purchase Order</t>
  </si>
  <si>
    <t>05. Reach - Supply Chain Analyst</t>
  </si>
  <si>
    <t>Step 1</t>
  </si>
  <si>
    <t xml:space="preserve">1. The user creates a new Purchase Order from the Shortcuts Portlet or by navigating to Vendors &gt; Purchases &gt; Enter Purchase Orders &gt; New, or by searching for "Enter Purchase Orders" in the global search bar.
2. The user enters the following values in the header section of the page: Vendor Name, Location and reference number
3. The user clicks the Save button to save the record. </t>
  </si>
  <si>
    <t xml:space="preserve">1. Purchase Order form is opened.
2. By Clicking save, the PO  is successfully saved and PO number is generated
3. GL Impact Can be viewed by Navigating to the GL Impact Tab </t>
  </si>
  <si>
    <t>Pass</t>
  </si>
  <si>
    <t>Lyn Corral</t>
  </si>
  <si>
    <t>New</t>
  </si>
  <si>
    <t>PO105</t>
  </si>
  <si>
    <t>Although PO105 is completed by Kam, this is still showing as Pending Receipts as well as PO106-108</t>
  </si>
  <si>
    <t>P2P02</t>
  </si>
  <si>
    <t>Create a Purchase Order using CSV</t>
  </si>
  <si>
    <t>1. Navigation: Setup &gt; Import/Export &gt; Saved CSV Import or click on shortcut in dashboard “Reach Cooling | Purchase Order CSV”
2. In the saved CSV imports, click on “Reach Cooling | Purchase Order CSV” and in the Scan &amp; Upload CSV file page, select the relevant file to import and click on next.
3. In the Import Option page, click on “add” to add the PO details.
4. In the File Mapping page, map the fields of the CSV with the fields in the NetSuite.
5. Once all the fields are mapped, then click on next to start the import.
6. And then click on run to start the import process</t>
  </si>
  <si>
    <t>1. PO is successfully created and PO number is generated.</t>
  </si>
  <si>
    <t>PO106, PO107, PO108</t>
  </si>
  <si>
    <t>Header Location &amp; Dept is the one mapped in CSV, not Line Location/Dept, if there are instances this two is not the same, we can rename the CSV Template to include "Header" and add "LINE Location/Depts too". If they are always the same maybe we can hide the line location/Dept in NetSuite  Line field?</t>
  </si>
  <si>
    <t>P2P03</t>
  </si>
  <si>
    <t>Create Inbound Shipment for Purchase Order</t>
  </si>
  <si>
    <t>1. Navigation: Receiving &gt; Receiving &gt; Create Inbound Shipment
2. Select the Purchase Orders and Items
3. Click on Save.
4. Click on Mark In Transit</t>
  </si>
  <si>
    <t>1. Inbound Shipment has been created with Shipment number
2. After Clicking on Mark In Transit, Take Ownership option appears.</t>
  </si>
  <si>
    <t>INBSHP24, INBSHP25, INBSHP26</t>
  </si>
  <si>
    <t>P2P04</t>
  </si>
  <si>
    <t>Take Ownership of Inbound shipment to Reach</t>
  </si>
  <si>
    <t>1. Navigation: Receiving &gt; Receiving &gt; Create Inbound Shipment &gt; List
2. Select the Inbound Shipment
3. Click on Take Ownership.
4.Choose the Purchase Orders and Receiving Location and Click on Save</t>
  </si>
  <si>
    <t>1. Ownership Transfer record has been created against the Inbound Shipment.</t>
  </si>
  <si>
    <t>20,21,22,23</t>
  </si>
  <si>
    <t>Ownership Doc No. generated has no Prefix such as TOXXX</t>
  </si>
  <si>
    <t>I have updated the auto generated number prefix for Ownership Transfer as OT (Transfer Order is TO, so to avoid confusion, added the prefix for Transfer Ownership as "OT")</t>
  </si>
  <si>
    <t>Procure to Pay: Item Receipts</t>
  </si>
  <si>
    <t>Creating Item Receipt</t>
  </si>
  <si>
    <t>P2P05</t>
  </si>
  <si>
    <t>Create Item Receipt for Inbound Shipment in WMS</t>
  </si>
  <si>
    <t>08. Reach - Warehouse Worker</t>
  </si>
  <si>
    <t>Receive Items in WMS</t>
  </si>
  <si>
    <t xml:space="preserve">1. Navigation: NSWMS &gt; Warehouse location &gt; Receiving &gt; Inbound Shipment 
2. Select the Shipment from the list
3. Scan/Enter the Item.
4. Enter the quantity of the Item
5. Scan/Enter the Bin
</t>
  </si>
  <si>
    <t xml:space="preserve">
1. All Items for Inbound Shipment have been put away successfully</t>
  </si>
  <si>
    <t>Kam</t>
  </si>
  <si>
    <t>P2P06</t>
  </si>
  <si>
    <t>Post Item Receipt</t>
  </si>
  <si>
    <t>1. To Post Item Receipt Navigation : Main Menu &gt; Receiving &gt; Post Item receipt
2. Select Inbound Shipment and choose/Scan the Shipment
3. Click on Post Item Receipt</t>
  </si>
  <si>
    <t>1. Item receipt has been created successfully.</t>
  </si>
  <si>
    <t>Procure to Pay: Vendor Bills</t>
  </si>
  <si>
    <t>Creating vendor Bill</t>
  </si>
  <si>
    <t>P2P07</t>
  </si>
  <si>
    <t>Create Vendor Bills</t>
  </si>
  <si>
    <t>03. Reach - A/P Manager</t>
  </si>
  <si>
    <t>Creating Vendor Bills that need to be added as Landed Cost</t>
  </si>
  <si>
    <r>
      <rPr>
        <sz val="14"/>
        <color rgb="FF000000"/>
        <rFont val="Times New Roman"/>
        <family val="1"/>
      </rPr>
      <t xml:space="preserve">Navigate: Vendors &gt; Purchases &gt; Enter Bills 
or Search “Enter Bills” in the search bar.
1. To create the vendor bill enter the Reference Number, Vendor name, location, and rate. Subsidiary, currency, date, and posting period will be automatically populated. 
2. Select location under segmentation.
3. Under the Expenses and Items subtab select Items, Department, Class, and Amount and </t>
    </r>
    <r>
      <rPr>
        <b/>
        <sz val="14"/>
        <color rgb="FF000000"/>
        <rFont val="Times New Roman"/>
        <family val="1"/>
      </rPr>
      <t xml:space="preserve">landed cost category.
</t>
    </r>
    <r>
      <rPr>
        <sz val="14"/>
        <color rgb="FF000000"/>
        <rFont val="Times New Roman"/>
        <family val="1"/>
      </rPr>
      <t xml:space="preserve">4. Then click on the save button to save this transaction.
</t>
    </r>
  </si>
  <si>
    <t xml:space="preserve">1. The status of Bill can be seen as “OPEN”.
2. GL Impact can be seen by navigating to GL Impact subtab.
</t>
  </si>
  <si>
    <t>BIll No. 123</t>
  </si>
  <si>
    <t>Vendors that are Tax Agencies should be created per subsidiary</t>
  </si>
  <si>
    <t>P2P08</t>
  </si>
  <si>
    <t>Creating Standalone Vendor Bills</t>
  </si>
  <si>
    <t xml:space="preserve">Navigate: Vendors &gt; Purchases &gt; Enter Bills 
or Search “Enter Bills” in the search bar.
1. To create the vendor bill enter the Reference Number, Vendor name, location, and rate. Subsidiary, currency, date, and posting period will be automatically populated. 
2. Select location under segmentation.
3. Under the Expenses and Items subtab select Expense Account/Item, Department, Class, and Amount.
4. Then click on the save button to save this transaction.
</t>
  </si>
  <si>
    <t>BIll No. 040225 Duties Test</t>
  </si>
  <si>
    <t>V4 Canada Revenue Agency - Reach Canada - Vendor ID cannot be edited?</t>
  </si>
  <si>
    <t>P2P09</t>
  </si>
  <si>
    <t>Creating Vendor Bills for Purchase orders which are received</t>
  </si>
  <si>
    <t>04.02.2025 Bill Testing</t>
  </si>
  <si>
    <t>Adding Landed Cost to Item receipt</t>
  </si>
  <si>
    <t>P2P10</t>
  </si>
  <si>
    <t>Add Landed Cost to Item receipt</t>
  </si>
  <si>
    <t>Adding Landed Cost to Item receipts
( Manual or Existing Bill)</t>
  </si>
  <si>
    <t>1. User Creates Item Receipts, from the Reminders  Portlet click "Orders to Receive" (or)  Navigate to (Vendors -&gt; Purchases -&gt; receive Orders).
2. On the Item Receipt page, user Checks vendor, item, and amount in the items tab.
3. On the Item Receipt page, navigate to the Landed Cost subtab.
4. Choose the Cost Allocation Method: defaulted to Weight. Manual: Allows manual entry of additional costs not linked to any specific transaction. Other Transaction: Allocates costs from other transactions, including taxes. Other Transactions (Exclude Tax): Allocates costs from other transactions, excluding tax amounts. 
5. Enter the Landed Cost Amount and set the Source to Manual: Other Transaction or Other Transactions (Exclude Tax) as appropriate.
6. User clicks on the save button to save the transaction.</t>
  </si>
  <si>
    <t xml:space="preserve">
1. By Clicking save, Item Receipt  is successfully saved and IR number is generated
2. GL Impact Can be viewed by Navigating to GL Impact Tab</t>
  </si>
  <si>
    <t>PO 104 / IR 171</t>
  </si>
  <si>
    <t>Procure to Pay: Bill Payment</t>
  </si>
  <si>
    <t>Create Vendor Bill Payment from bill Record</t>
  </si>
  <si>
    <t>P2P11</t>
  </si>
  <si>
    <t>Vendor Bill Payment</t>
  </si>
  <si>
    <t>Vendor Bill Payment from bill Record Or Paying Single vendor</t>
  </si>
  <si>
    <t>1. User can also apply for any open vendor credits when applying for vendor payments.
2. Then select the following values in the header section of the page:
3. Vendor: Select the vendor for which payment is to be made.
4. Payable Account number: Default vendor account is populated, Change the Payable Account if required.
5. Bank Account: The Default Bank account is populated; we can change it if required.
6. The posting period is by default current posting period. we can change it if required.
7. In the apply tab, all open bills are shown. Then select the Single/Multiple bills from the vendor for which payment is to be made, and the respective amount is auto-populated in the payment column.
8. In the payment type body level field, user can select the payment type.
9. Then click on the save button to save the transaction.</t>
  </si>
  <si>
    <t>1.  After saving the payment record Bill payment confirmation is shown, transaction number is generated.
2. Navigate to the GL Impact subtab to view the GL Impact of the given transaction.</t>
  </si>
  <si>
    <t>VENDPYMT31 / Check No. 6</t>
  </si>
  <si>
    <t>Discount not yet set up ; Check Nos notassigned based on actual numbers</t>
  </si>
  <si>
    <t>P2P12</t>
  </si>
  <si>
    <t>Vendor Bill Payment for multiple Vendors</t>
  </si>
  <si>
    <t xml:space="preserve">1. The open bills are ready to make payment.
2. We can also apply for any open vendor credits when applying for vendor payments.
3. To Create Vendor Payments, follow the navigation.
4. Navigation: Vendors &gt; Accounts Payable &gt; Pay Bills.
5. The Bank account is auto-populated user can change it if required.
6. The posting period is by default, the current posting period. we can change it if required.
7. select the open bill which is to pay and save.
8. User can select multiple transactions.
9. Now click on the refresh button to get the status as completed.
</t>
  </si>
  <si>
    <t>1. And we can see that number is generated.
2. Click on the number to open the Bill Payment record.
3. By navigating to the GL Impact subtab we can see the GL Impact of the transaction.
4. User can see the status of the bill as paid in full.</t>
  </si>
  <si>
    <t>VENDPYMT33</t>
  </si>
  <si>
    <t>Procure to Pay: Vendor Return Authorization</t>
  </si>
  <si>
    <t xml:space="preserve">Creating Vendor Return Authorization </t>
  </si>
  <si>
    <t>P2P13</t>
  </si>
  <si>
    <t>Create a VRA</t>
  </si>
  <si>
    <t>Create a Vendor Return Authorization using CSV/PO</t>
  </si>
  <si>
    <t>1. Navigation: Receiving &gt; Receiving &gt; Enter Purchase Orders &gt; Lists
2. Choose the Purchase Order from the list.
3. Click on Authorize Return
4. Select the quantity of the item and click on save to create Vendor Return Authorization</t>
  </si>
  <si>
    <t>1. Vendor Return Authorization has been created successfully with Pending Return status</t>
  </si>
  <si>
    <t>PO104,VRMA30</t>
  </si>
  <si>
    <t>P2P14</t>
  </si>
  <si>
    <t>Create Item Fulfilment for VRA in WMS</t>
  </si>
  <si>
    <t>08. Reach -Warehouse Worker</t>
  </si>
  <si>
    <t>Step 2</t>
  </si>
  <si>
    <t>Create Item Fulfilment</t>
  </si>
  <si>
    <t>1: Navigation: NSWMS &gt; Warehouse location &gt; Vendor Returns
2. Select the Returns from the list
3. Select the Item
4. Enter the quantity of the item.
5. Item fulfilment has been created</t>
  </si>
  <si>
    <t xml:space="preserve">1. Item fulfilment for the Vendor Return has been created </t>
  </si>
  <si>
    <t xml:space="preserve">Procure to Pay: Bill Credits </t>
  </si>
  <si>
    <t xml:space="preserve">Create Bill Credits </t>
  </si>
  <si>
    <t>P2P15</t>
  </si>
  <si>
    <t>Vendor Credits</t>
  </si>
  <si>
    <t>1. User Creates the Vendor Credit,  From the Shortcuts Portlet, click "Create Bill Credit" (or) Navigate to  (Vendors-&gt; Account Payables -&gt;Enter Vendor Credits).
2. Users Select the Vendor's name, reference number, and location and then details as a subsidiary, and the posting period gets auto-populated.
3. In theVendor credits , go to “expenses” in the Expenses and Items subtab and select the account and amount. 
4. To apply the created credit to the Bill, go to “Apply” in the Expenses and Items subtab and select the Bill and enter the amount of credit .
5.Users click on the save button to save the transactions.</t>
  </si>
  <si>
    <t>1. Transaction successfully Saved.2. GL Impact can be viewed by navigating to GL Impact tab after saving.</t>
  </si>
  <si>
    <t>Reference02</t>
  </si>
  <si>
    <t xml:space="preserve">Count of Responsibility </t>
  </si>
  <si>
    <t>Status</t>
  </si>
  <si>
    <t xml:space="preserve">Responsibility </t>
  </si>
  <si>
    <t>Completed</t>
  </si>
  <si>
    <t>In Progress</t>
  </si>
  <si>
    <t>Not Started</t>
  </si>
  <si>
    <t>(blank)</t>
  </si>
  <si>
    <t>Grand Total</t>
  </si>
  <si>
    <t>Calvin</t>
  </si>
  <si>
    <t>Pugal</t>
  </si>
  <si>
    <t>Roselin</t>
  </si>
  <si>
    <t>Supraja</t>
  </si>
  <si>
    <t>Supraja / Calvin</t>
  </si>
  <si>
    <t>Vadivel</t>
  </si>
  <si>
    <t>Prashanth</t>
  </si>
  <si>
    <t>Action Items - Zenardy</t>
  </si>
  <si>
    <t>Sent to Mobileum Review</t>
  </si>
  <si>
    <t>Testing</t>
  </si>
  <si>
    <t>Count of Status</t>
  </si>
  <si>
    <t>Action Items - Mobileum</t>
  </si>
  <si>
    <t>Dependency</t>
  </si>
  <si>
    <t>Mobileum</t>
  </si>
  <si>
    <t>Zenardy</t>
  </si>
  <si>
    <t>Count of Dependency</t>
  </si>
  <si>
    <t>Responsibility</t>
  </si>
  <si>
    <t>Agnelo</t>
  </si>
  <si>
    <t>Anurag</t>
  </si>
  <si>
    <t>Calvin, Prasanth, Supraja, Pugal &amp; Roselin</t>
  </si>
  <si>
    <t>Calvin, Supraja, Pugal &amp; Roselin</t>
  </si>
  <si>
    <t>Prasanth</t>
  </si>
  <si>
    <t>Vishal</t>
  </si>
  <si>
    <t>Use Case #</t>
  </si>
  <si>
    <t xml:space="preserve">FRD </t>
  </si>
  <si>
    <t>Feedback</t>
  </si>
  <si>
    <t>Test Transaction #</t>
  </si>
  <si>
    <t>Mobileum Comments</t>
  </si>
  <si>
    <t>Create a Vendor</t>
  </si>
  <si>
    <t>PTP01</t>
  </si>
  <si>
    <t>New Vendor Creation</t>
  </si>
  <si>
    <t>Vendor</t>
  </si>
  <si>
    <t>Vendor Creation in Onboarding Form</t>
  </si>
  <si>
    <t xml:space="preserve">1. SCM team will send the Vendor Onboarding Form URL to the Vendor from NetSuite. 
2. The URL is available for 10business days initially.
3. The URL will be an expirable link </t>
  </si>
  <si>
    <t>After clicking URL, It will take to Vendor on boarding form</t>
  </si>
  <si>
    <t xml:space="preserve">1. Label name change from Billing Contact to Finance Contact
2. Remove AR Contact &amp; Add Vendor POC
3. Mobileum team needs to verify the content part of the email. 
4. Mobileum team need to give the generic email for sending email for vendor onboarding form. 
5. report: email send to Vendor 
6. For MSME vendor default the term as 45days. 
7. Give checkbox to make Primary billing address as shipping address
8. In Bank info, default country based on country given in the vendor details page. 
9. List of needs to be given by SCM team for doc uploads - like MSME certificate, GST certificate need a separate files. 
10. Name on the account in bank detail needs to be populate from Legal Name ( If needed they'll change it manually)
11. Statuatory vendors will be created by IT Admin in NetSuite directly. </t>
  </si>
  <si>
    <t>CRP 1</t>
  </si>
  <si>
    <t>Vendor will Sign up using his organizational email ID</t>
  </si>
  <si>
    <t>After submitting, all the filled details will be transferred into NetSuite Vendor record</t>
  </si>
  <si>
    <t>Step 3</t>
  </si>
  <si>
    <t>Enter all the Mandatory details in the form including bank details</t>
  </si>
  <si>
    <t>Check and confirm if al the madatory field are entered
The page should not be saved if the mandatory information are not entered</t>
  </si>
  <si>
    <t>Step 4</t>
  </si>
  <si>
    <t>Upload supporting documents and Submit the form</t>
  </si>
  <si>
    <t>All the documents should be available in NetSuite vendor record after successful Submission.</t>
  </si>
  <si>
    <t>Step 5</t>
  </si>
  <si>
    <t>Confirm the URL is expired after specified time</t>
  </si>
  <si>
    <t>URL cannot be accessed after specified time limit</t>
  </si>
  <si>
    <t>Step 6</t>
  </si>
  <si>
    <t>Extend URL by selecting the business days if the extension requested by the vendor by clicking on "Extend" button in the custom record</t>
  </si>
  <si>
    <t>Check if the URL is accessible for next mentioned business days</t>
  </si>
  <si>
    <t>12. Add the field to enter the days to extend and extend the URl</t>
  </si>
  <si>
    <t>PTP02</t>
  </si>
  <si>
    <t>Step 7</t>
  </si>
  <si>
    <t xml:space="preserve">Confirmation </t>
  </si>
  <si>
    <t>1. New Vendor is created in inactive state
2. Vendor ID is the combination of the sequnetial number from NetSuite and Subsidiary code</t>
  </si>
  <si>
    <t>Confirm Subsidiary code and Number as vendor ID</t>
  </si>
  <si>
    <t xml:space="preserve">13. Vendor created in UI, need it as separate report. 
</t>
  </si>
  <si>
    <t>PTP03</t>
  </si>
  <si>
    <t>SCM Analyst</t>
  </si>
  <si>
    <t>Step 8</t>
  </si>
  <si>
    <t xml:space="preserve">Verification by SCM </t>
  </si>
  <si>
    <t>SCM Team or Finance team can update the vendor details directly in NetSuite if there are any</t>
  </si>
  <si>
    <t>Finance team will be notified for further review</t>
  </si>
  <si>
    <t xml:space="preserve">14. Need to change the vendor Category - need to enable multi select. 
15. Onboarding status, SCM verified by, finance verified needs to be grey out. </t>
  </si>
  <si>
    <t>Step 9</t>
  </si>
  <si>
    <t>Once the SCM validation is completed, Click on "SCM Review Completed" after verification</t>
  </si>
  <si>
    <t>Confirm if the next state is triggered to Finance Team</t>
  </si>
  <si>
    <t xml:space="preserve">16. Finance anaylst is make changes and finance manager is 2nd level approval.  ( If any bank details changing) . { while creating transaction for that vendor, that time the Bank detail only needs to be inactive)
17. Audit record we can give, for vendor changes. </t>
  </si>
  <si>
    <t>PTP04</t>
  </si>
  <si>
    <t>AP Manager</t>
  </si>
  <si>
    <t>Step 10</t>
  </si>
  <si>
    <t xml:space="preserve">Verification by Finance ( Non Screening) vendor </t>
  </si>
  <si>
    <t xml:space="preserve">
1. Once SCM team triggers the "SCM Review completed" button, a notification will be sent to Finance team to start reviewing
2. Finance Team will validate the bank details and trigger the "Do not require D&amp;B Screening " Checkbox if the vendor do not require the screening process in D&amp;B system.
3. This will activate the vendor in NetSuite
</t>
  </si>
  <si>
    <t>Confirm if the D&amp;B Screening &amp; Inactive checkbox unchecked</t>
  </si>
  <si>
    <t xml:space="preserve">18. GST wise Report by vendor
19. SCM team should do the D&amp;B sync after that process only we will do the finance approval. 
20. Need to build the report of, D&amp;B team approval time + finance team. (Anurag need to send the template for this report). 
</t>
  </si>
  <si>
    <t>PTP05</t>
  </si>
  <si>
    <t>Step 11</t>
  </si>
  <si>
    <t>Vendor Creation in D&amp;B</t>
  </si>
  <si>
    <t>SCM Analyst Team tiggers the "Sync vendor to D&amp;B" button and this will create vendor in D&amp;B System</t>
  </si>
  <si>
    <t>Vendor creation with all data in D&amp;B system with along with NetSuite ID</t>
  </si>
  <si>
    <t>CRP 2</t>
  </si>
  <si>
    <t>PTP06</t>
  </si>
  <si>
    <t>Legal Team, Security Team &amp; Privacy Team</t>
  </si>
  <si>
    <t>Step 12</t>
  </si>
  <si>
    <t>Status Update in NetSuite</t>
  </si>
  <si>
    <t xml:space="preserve">Once the validation is completed by Legal, Privacy and Secutiry Team in D&amp;B, based on the Status Change to "Approved" , the vendor is made active in NetSuite automatically. </t>
  </si>
  <si>
    <t>D&amp;B Status in NetSuite vendor record  is changed to "Approved" and vendor status is "Active"</t>
  </si>
  <si>
    <t>Procure to Pay: Contract Vendor Expiry</t>
  </si>
  <si>
    <t>PTP07</t>
  </si>
  <si>
    <t>Contract Vendor Expiry</t>
  </si>
  <si>
    <t>Finance Head / AP Manager</t>
  </si>
  <si>
    <t>Check the "Payment Hold" checkbox in the vendor master</t>
  </si>
  <si>
    <t>Confirm if the checkbox is checked if the payment for the contract expired vendor to be hold</t>
  </si>
  <si>
    <t>The PO, VB, Payment for the vendor should not be created; an error message to be thrown</t>
  </si>
  <si>
    <t>Confirm if the PO, Vb, Payment threw error alert when the vendor is selected</t>
  </si>
  <si>
    <t>Procure to Pay: Create Purchase Requisition</t>
  </si>
  <si>
    <t>PTP08</t>
  </si>
  <si>
    <t>Purchase Requisition</t>
  </si>
  <si>
    <t>Purchase Requestor</t>
  </si>
  <si>
    <t>Create Purchase Requisition</t>
  </si>
  <si>
    <t>Navigation: Transactions &gt; Purchases &gt; Enter Requisitions</t>
  </si>
  <si>
    <t xml:space="preserve">1. To create the Purchase Requisition, enter the Subsidiary, currency, Items, quantity, rate, SUB FUNCTION, Class, location, Order Types.
2. Attach the files if there are any
3. then click on the Save button to save the transaction
</t>
  </si>
  <si>
    <t>1. PR Is created successfully and the PR number is generated
2. PR is created in pending approval</t>
  </si>
  <si>
    <t xml:space="preserve">1. Need to pull the employee data from HR system ( Zenardy team need to send a file that listed all the basic required file)
2. Need to restrict the subsidiary in PR, need to put a pop-up message. 
3. Suggested vendor into a non-mandatory field. </t>
  </si>
  <si>
    <t>Once the Purchase Requisition is saved, the requestor will trigger the button called "Submit the PR for SCM review"</t>
  </si>
  <si>
    <t>Confirm if the next state is triggered to SCM Analyst</t>
  </si>
  <si>
    <t>4. Need to send Approval Matrix table to mobileum team</t>
  </si>
  <si>
    <t>PTP09</t>
  </si>
  <si>
    <t>Purchase Requisition Review by SCM Analyst</t>
  </si>
  <si>
    <t>SCM Analyst to review the provided information in PR</t>
  </si>
  <si>
    <t>Check and Confirm all the details are added</t>
  </si>
  <si>
    <t>Once SCM validates and confirms the PR, triggers the "Submit for Approval" button to send PR for approval to SCM head</t>
  </si>
  <si>
    <t>Confirm if the next state is triggered to SCM Head</t>
  </si>
  <si>
    <t>Procure to Pay: COGS PR Approval</t>
  </si>
  <si>
    <t xml:space="preserve">4.1.1 </t>
  </si>
  <si>
    <t>COGS PR Approval</t>
  </si>
  <si>
    <t>SCM Head</t>
  </si>
  <si>
    <t>PR of any amount to be approved by SCM Head first. </t>
  </si>
  <si>
    <t>SCM Head approves the PR</t>
  </si>
  <si>
    <t>Procure to Pay: COGS PR Approval - Amount &lt; $5000</t>
  </si>
  <si>
    <t>PTP10</t>
  </si>
  <si>
    <t>Amount &lt; $5000</t>
  </si>
  <si>
    <t>Amount &lt; 5000
Budget - Available
Payment Term - matches</t>
  </si>
  <si>
    <t>SCM Head will approve the PR</t>
  </si>
  <si>
    <t>Check if SCM head approved the PR</t>
  </si>
  <si>
    <t>SCM Head &amp; FPA Team</t>
  </si>
  <si>
    <t>Amount &lt; 5000
Budget - not Available
Payment Term - matches</t>
  </si>
  <si>
    <t>SCM Head and FPA Team will approve the PR</t>
  </si>
  <si>
    <t>Check if SCM Head and FPA Team approved the PR</t>
  </si>
  <si>
    <t>SCM Head
Corporate Controller</t>
  </si>
  <si>
    <t>Amount &lt; 5000
Budget - Available
Payment Term - not matches</t>
  </si>
  <si>
    <t>SCM Head and Corporate Controller  will approve the PR</t>
  </si>
  <si>
    <t>Check if SCM Head, Corporate Controller approved the PR</t>
  </si>
  <si>
    <t>SCM Head
FPA Team
Corporate Controller</t>
  </si>
  <si>
    <t>Amount &lt; 5000
Budget - not Available
Payment Term - not matches</t>
  </si>
  <si>
    <t>SCM Head, FPA Team and Corporate Controller  will approve the PR</t>
  </si>
  <si>
    <t>Check if SCM Head, FPA Team and Corporate Controller approved the PR</t>
  </si>
  <si>
    <t>Procure to Pay: COGS PR Approval - Amount &gt; $5000</t>
  </si>
  <si>
    <t>PTP11</t>
  </si>
  <si>
    <t>Amount &gt; $5000</t>
  </si>
  <si>
    <t>SCM Head, Department Head &amp; CFO</t>
  </si>
  <si>
    <t>Amount &gt; 5000
Budget - Available
Payment Term - Matches
Prepayment - Paid</t>
  </si>
  <si>
    <t>Amount &gt; 5000
Budget - Available
Payment Term - Matches
Prepayment - No</t>
  </si>
  <si>
    <t>SCM Head, Department Head, FPA &amp; CFO</t>
  </si>
  <si>
    <t>Amount &gt; 5000
Budget - not Available
Payment Term - Matches
Prepayment - Paid</t>
  </si>
  <si>
    <t>SCM Head, Department Head &amp; FPA</t>
  </si>
  <si>
    <t>Amount &gt; 5000
Budget - not Available
Payment Term - Matches
Prepayment - No</t>
  </si>
  <si>
    <t>SCM Head, Department Head &amp; Corporate Controller</t>
  </si>
  <si>
    <t>Amount &gt; 5000
Budget - Available
Payment Term - Do not Match &amp; amount &lt;50k
Prepayment = No</t>
  </si>
  <si>
    <t>SCM Head, Department Head, Corporate Controller &amp; CFO</t>
  </si>
  <si>
    <t>Amount &gt; 5000
Budget - Available
Payment Term - Do not Match &amp; amount &lt;50k
Prepayment = Yes</t>
  </si>
  <si>
    <t>SCM Head, DepartmentHead, COO &amp; CFO</t>
  </si>
  <si>
    <t>Amount &gt; 5000
Budget - Available
Payment Term - Do not Match &amp; amount &gt;50K
Prepayment = Yes</t>
  </si>
  <si>
    <t>SCM Head, Department Head &amp; COO</t>
  </si>
  <si>
    <t>Amount &gt; 5000
Budget - Available
Payment Term - Do not Match &amp; amount &gt;50K
Prepayment = No</t>
  </si>
  <si>
    <t>SCM Head, Department Head, FPA, Corporate Controller &amp; CFO</t>
  </si>
  <si>
    <t>Amount &gt;5000
Budget - Not Available
Payment Term - Not Matches &amp; Amount &lt;50K
Prepayment = Yes</t>
  </si>
  <si>
    <t>SCM Head, Department Head, FPA &amp; Corporate Controller</t>
  </si>
  <si>
    <t>Amount &gt;5000
Budget - Not Available
Payment Term - Not Matches &amp; Amount &lt;50K
Prepayment = No</t>
  </si>
  <si>
    <t>SCM Head, Department Head, FPA, COO, &amp; CFO</t>
  </si>
  <si>
    <t>Amount &gt;5000
Budget - Not Available
Payment Term - Not Matches &amp; Amount &gt;50K
Prepayment = Yes</t>
  </si>
  <si>
    <t>SCM Head, Department Head, FPA &amp; COO</t>
  </si>
  <si>
    <t>Amount &gt;5000
Budget - Not Available
Payment Term - Not Matches &amp; Amount &gt;50K
Prepayment = No</t>
  </si>
  <si>
    <t>Procure to Pay: Approval Delegators</t>
  </si>
  <si>
    <t>PTP12</t>
  </si>
  <si>
    <t>Approval Delegation</t>
  </si>
  <si>
    <t>Approval Delegator</t>
  </si>
  <si>
    <t>Approval Delegator role is assigned to the Delegators who will approve on behalf of the other role</t>
  </si>
  <si>
    <t>Confirm if the Delegator is assigned the Approval Delegator role</t>
  </si>
  <si>
    <t xml:space="preserve">Go to the respective saved search in the Reminder and click on the search </t>
  </si>
  <si>
    <t>Check the right Reminder and click on the search</t>
  </si>
  <si>
    <t>Click on View on the PR to approve and hit the Approve Button</t>
  </si>
  <si>
    <t>Confirm if the PR Is approved or rejected</t>
  </si>
  <si>
    <t>If the PR is rejected by Delegator, then the PR will be routed to creator for resubmission</t>
  </si>
  <si>
    <t>Confirm if the Creator can resubmit the PR</t>
  </si>
  <si>
    <t>Procure to Pay: COGS PR Approval - Rejection</t>
  </si>
  <si>
    <t>Rejection</t>
  </si>
  <si>
    <t>If the PR is rejected at any level, it will be routed from the beginning for the reapproval</t>
  </si>
  <si>
    <t>Confirm if the PR is rejected and routed to the creator for the approval</t>
  </si>
  <si>
    <t>When the resubmit button is triggered, it will be routed from the beginning for the reapproval</t>
  </si>
  <si>
    <t>Confirm if the approval routes fromt he beginning after the resubmission</t>
  </si>
  <si>
    <t>Procure to Pay: Budget Reallocation</t>
  </si>
  <si>
    <t>PTP13</t>
  </si>
  <si>
    <t>Budget Reallocation</t>
  </si>
  <si>
    <t>Purchase Requestor
 / FPA Team</t>
  </si>
  <si>
    <t>If any of the line in PR is removed or changed (before PO is generated), then the budget will be reallocated to the respective GL Account</t>
  </si>
  <si>
    <t>Confirm if the Budget is reallocated</t>
  </si>
  <si>
    <t>If the PR is deleted before the PO is generated, then the budget will be reallocated to the respective GL Account</t>
  </si>
  <si>
    <t>If the PO is created for the PR, then if the user needs to cancel the PR, then the user has to cancel the PO only.
Cancelling the PO will also change the status of the PR status field to Cancelled</t>
  </si>
  <si>
    <t>Confirm if the PR and PO is cancelled</t>
  </si>
  <si>
    <t>When the PO is cancelled, it will cancel the associcated PR and the budget amount will be reallocated to the respective GL Account</t>
  </si>
  <si>
    <t>Procure to Pay: Non-COGS PR Approval</t>
  </si>
  <si>
    <t>PTP14</t>
  </si>
  <si>
    <t>Non-COGS PR Approval</t>
  </si>
  <si>
    <t>PR of any amount to be approved by SCM Head. </t>
  </si>
  <si>
    <t>Confirm if the SCM Head approved the PR</t>
  </si>
  <si>
    <t>Procure to Pay: Non-COGS PR Approval - SUB FUNCTION: Managed Services</t>
  </si>
  <si>
    <t>PTP15</t>
  </si>
  <si>
    <t xml:space="preserve">Managed Services - 
Managed Services - Risk
Managed Services - Roaming
Managed Services - Security
</t>
  </si>
  <si>
    <t>SVP - Managed Services &amp; Customer Support</t>
  </si>
  <si>
    <t>&lt;=50K</t>
  </si>
  <si>
    <t>SVP - Managed Services &amp; Customer Support will approve the PR</t>
  </si>
  <si>
    <t>COO &amp;  CFO</t>
  </si>
  <si>
    <t>&gt;50K to &lt;=250K</t>
  </si>
  <si>
    <t>COO &amp;  CFO will approve the PR</t>
  </si>
  <si>
    <t>CEO</t>
  </si>
  <si>
    <t>&gt;250K</t>
  </si>
  <si>
    <t>CEO will approve the PR</t>
  </si>
  <si>
    <t>Procure to Pay: Non-COGS PR Approval - SUB FUNCTION: Customer Support</t>
  </si>
  <si>
    <t>PTP16</t>
  </si>
  <si>
    <t xml:space="preserve">
Customer Support - 
Customer Support - Common	
Customer Support - E&amp;E
Customer Support - Risk
Customer Support - Roaming
Customer Support - Testing
</t>
  </si>
  <si>
    <t>Director / Senior Director</t>
  </si>
  <si>
    <t>&lt;=15K</t>
  </si>
  <si>
    <t xml:space="preserve">Director / Senior Director will approve the PR
"RNS: Varma Penmacha
Risk: Mario Rui Rosas
TSA: Priyam Hazarika
EE: Philippe Bechaump"
</t>
  </si>
  <si>
    <t>&gt;15k to &lt;=50K</t>
  </si>
  <si>
    <t>Procure to Pay: Non-COGS PR Approval - SUB FUNCTION: DELIVERY</t>
  </si>
  <si>
    <t>PTP17</t>
  </si>
  <si>
    <t xml:space="preserve">Delivery
Delivery - Developing Solutions 
Global Delivery - E&amp;E
Global Delivery - Risk
Global Delivery - Roaming
Global Delivery - Security
Global Delivery - Testing
</t>
  </si>
  <si>
    <t>Senior Vice President &amp; Global Head of Delivery</t>
  </si>
  <si>
    <t>Senior Vice President &amp; Global Head of Delivery will approve the PR</t>
  </si>
  <si>
    <t>Procure to Pay: Non-COGS PR Approval - SUB FUNCTION: LEGAL</t>
  </si>
  <si>
    <t>PTP18</t>
  </si>
  <si>
    <t>Legal</t>
  </si>
  <si>
    <t>General Counsel</t>
  </si>
  <si>
    <t>General Counsel will approve the PR</t>
  </si>
  <si>
    <t>Procure to Pay: Non-COGS PR Approval - SUB FUNCTION: HR</t>
  </si>
  <si>
    <t>PTP19</t>
  </si>
  <si>
    <t>HR</t>
  </si>
  <si>
    <t>Director / Senior Director will approve the PR</t>
  </si>
  <si>
    <t>Chief HR Officer</t>
  </si>
  <si>
    <t>VP / SVP will approve the PR</t>
  </si>
  <si>
    <t>Procure to Pay: Non-COGS PR Approval - SUB FUNCTION: IT</t>
  </si>
  <si>
    <t>PTP20</t>
  </si>
  <si>
    <t>Information Technology</t>
  </si>
  <si>
    <t>Chief Information Officer - IT/Systems</t>
  </si>
  <si>
    <t>Vice President - IT</t>
  </si>
  <si>
    <t>Procure to Pay: Non-COGS PR Approval - SUB FUNCTION: ACCOUNTING</t>
  </si>
  <si>
    <t>PTP21</t>
  </si>
  <si>
    <t>Accounting</t>
  </si>
  <si>
    <t>Corporate Controller</t>
  </si>
  <si>
    <t>Chief Accounting Officer</t>
  </si>
  <si>
    <t>Procure to Pay: Non-COGS PR Approval - SUB FUNCTION: TAX</t>
  </si>
  <si>
    <t>PTP22</t>
  </si>
  <si>
    <t>Tax</t>
  </si>
  <si>
    <t>VP / SVP</t>
  </si>
  <si>
    <t>&lt;=30K</t>
  </si>
  <si>
    <t>&gt;30k to &lt;=50K</t>
  </si>
  <si>
    <t>Procure to Pay: Non-COGS PR Approval - SUB FUNCTION: FACILITIES &amp; FPA</t>
  </si>
  <si>
    <t>PTP23</t>
  </si>
  <si>
    <t>Facilities
Financial Planning &amp; Analysis</t>
  </si>
  <si>
    <t>Procure to Pay: Non-COGS PR Approval - SUB FUNCTION: COMPLIANCE</t>
  </si>
  <si>
    <t>PTP24</t>
  </si>
  <si>
    <t>Compliance</t>
  </si>
  <si>
    <t>Chief Compliance Officer</t>
  </si>
  <si>
    <t>Procure to Pay: Non-COGS PR Approval - SUB FUNCTION: ENGINEERING</t>
  </si>
  <si>
    <t>PTP25</t>
  </si>
  <si>
    <t>Engineering
Engineering Leadership - E&amp;E
Engineering Leadership - Roaming
Engineering Leadership - Security
Engineering Leadership - Testing
Engineering Leadership Common
Engineering &amp; Product Management - Developing</t>
  </si>
  <si>
    <t xml:space="preserve">Director / Senior Director
1.	Risk BU     - Luis Bras
2.	TSA BU     - Gerald Wittmann 
3.	Security BU  - Chandrashekhar Marathe
4.	E&amp;E BU        - Constantinos Haveldis
5.	Roaming BU - Ashwin Chalapathy
6.	Common BU - Ashwin Chalapathy
</t>
  </si>
  <si>
    <t>CTO or SVP - Global Head of Engineering</t>
  </si>
  <si>
    <t>Procure to Pay: Non-COGS PR Approval - SUB FUNCTION: SALES</t>
  </si>
  <si>
    <t>PTP26</t>
  </si>
  <si>
    <t>Sales - 
Global Sales Management
Guavus - Sales
Presales North America
Risk Sales
Sales Africa
Sales Americas
Sales Asia
Sales CFA EE &amp; CIS
Sales Eastern Europe
Sales Latin America
Sales Middle East
Sales North America
Sales Operations
Sales Roaming
Sales Western Europe
E&amp;E Sales
Testing Regional Sales
Testing Sales</t>
  </si>
  <si>
    <t>Chief Revenue Officer</t>
  </si>
  <si>
    <t>Procure to Pay: Non-COGS PR Approval - SUB FUNCTION: CLOUD OPS</t>
  </si>
  <si>
    <t>PTP27</t>
  </si>
  <si>
    <t>CloudOps</t>
  </si>
  <si>
    <t>Senior Director - Cloud Operations</t>
  </si>
  <si>
    <t>Procure to Pay: Non-COGS PR Approval - SUB FUNCTION: MARKETING</t>
  </si>
  <si>
    <t>PTP28</t>
  </si>
  <si>
    <t>Marketing</t>
  </si>
  <si>
    <t>Chief Marketing Officer</t>
  </si>
  <si>
    <t>Procure to Pay: Non-COGS PR Approval - SUB FUNCTION: PRODUCT MANAGEMENT - NO RISK</t>
  </si>
  <si>
    <t>PTP29</t>
  </si>
  <si>
    <t>Product Management</t>
  </si>
  <si>
    <t>Chief Product Manager</t>
  </si>
  <si>
    <t>Procure to Pay: Non-COGS PR Approval - SUBFUNCTION : TESTING HARDWARE</t>
  </si>
  <si>
    <t>PTP30</t>
  </si>
  <si>
    <t>Testing Hardware</t>
  </si>
  <si>
    <t>SVP &amp; Global Head - Risk</t>
  </si>
  <si>
    <t>Procure to Pay: Non-COGS PR Approval - SUBFUNCTION : OPERATIONS</t>
  </si>
  <si>
    <t>PTP31</t>
  </si>
  <si>
    <t>Operations</t>
  </si>
  <si>
    <t>VP</t>
  </si>
  <si>
    <t>Procure to Pay: Non-COGS PR Approval - SUBFUNCTION : TECHNOLOGY</t>
  </si>
  <si>
    <t>PTP32</t>
  </si>
  <si>
    <t>Technology</t>
  </si>
  <si>
    <t>CTO</t>
  </si>
  <si>
    <t>PTP33</t>
  </si>
  <si>
    <t>Prepayment Validation</t>
  </si>
  <si>
    <t>CFO</t>
  </si>
  <si>
    <t>Amount threshold
Budget - Available
Payment Term - Matches
Prepayment - Paid</t>
  </si>
  <si>
    <t>Budget &amp; Prepayment Validation</t>
  </si>
  <si>
    <t>FPA &amp; CFO</t>
  </si>
  <si>
    <t>Amount threshold
Budget - not Available
Payment Term - Matches
Prepayment - Paid</t>
  </si>
  <si>
    <t>Budget Validation</t>
  </si>
  <si>
    <t xml:space="preserve"> FPA</t>
  </si>
  <si>
    <t>Amount threshold
Budget - not Available
Payment Term - Matches
Prepayment - No</t>
  </si>
  <si>
    <t>Payment Term Validation</t>
  </si>
  <si>
    <t>Amount threshold
Budget - Available
Payment Term - Do not Match &amp; amount &lt;50k
Prepayment = No</t>
  </si>
  <si>
    <t>Payment Term and Prepayment Validation</t>
  </si>
  <si>
    <t>Corporate Controller &amp; CFO</t>
  </si>
  <si>
    <t>Amount threshold
Budget - Available
Payment Term - Do not Match &amp; amount &lt;50k
Prepayment = Yes</t>
  </si>
  <si>
    <t>COO &amp; CFO</t>
  </si>
  <si>
    <t>Amount threshold
Budget - Available
Payment Term - Do not Match &amp; amount &gt;50K
Prepayment = Yes</t>
  </si>
  <si>
    <t>COO</t>
  </si>
  <si>
    <t>Amount threshold
Budget - Available
Payment Term - Do not Match &amp; amount bet &gt;50K
Prepayment = No</t>
  </si>
  <si>
    <t>Budget, Payment Term and Prepayment Validation</t>
  </si>
  <si>
    <t xml:space="preserve"> FPA, Corporate Controller &amp; CFO</t>
  </si>
  <si>
    <t>Amount threshold
Budget - Not Available
Payment Term - Not Matches &amp; Amount &lt;50K
Prepayment = Yes</t>
  </si>
  <si>
    <t>Budget and Payment Term Validation</t>
  </si>
  <si>
    <t>FPA &amp; Corporate Controller</t>
  </si>
  <si>
    <t>Amount threshold
Budget - Not Available
Payment Term - Not Matches &amp; Amount &lt;50K
Prepayment = No</t>
  </si>
  <si>
    <t>FPA, COO, &amp; CFO</t>
  </si>
  <si>
    <t>Amount threshold
Budget - Not Available
Payment Term - Not Matches &amp; Amount bet &gt;50K
Prepayment = Yes</t>
  </si>
  <si>
    <t>FPA &amp; COO</t>
  </si>
  <si>
    <t>Amount threshold
Budget - Not Available
Payment Term - Not Matches &amp; Amount bet &gt;50K
Prepayment = No</t>
  </si>
  <si>
    <t>Procure to Pay: Non-COGS Approval Delegators</t>
  </si>
  <si>
    <t>PTP34</t>
  </si>
  <si>
    <t>Procure to Pay: Non-COGS PR Approval - REJECTION</t>
  </si>
  <si>
    <t>PTP35</t>
  </si>
  <si>
    <t>Procurement Executive</t>
  </si>
  <si>
    <t>If the PR is rejected at any level, Creator will review the rejection reason and work on it and resubmit the PR for approval</t>
  </si>
  <si>
    <t>Confirm the PR is rejected and the Creator is notified</t>
  </si>
  <si>
    <t>Procure to Pay: Non-COGS Budget Reallocation</t>
  </si>
  <si>
    <t>PTP36</t>
  </si>
  <si>
    <t>Purchasing Manager / FPA Team</t>
  </si>
  <si>
    <t>PTP37</t>
  </si>
  <si>
    <t>Create Purchase Order</t>
  </si>
  <si>
    <t>COGS &amp; Non-COGS Purchase Order</t>
  </si>
  <si>
    <t xml:space="preserve"> Once the PR is approved, SCM Analyst team reviews the approved PR and proposes into PO</t>
  </si>
  <si>
    <t>Check if the vendor and Amount are tagged
confirm if the PO is created successfully with all the details</t>
  </si>
  <si>
    <t>1. In PO line level, we need to add only project instead of customer</t>
  </si>
  <si>
    <t>Navigation: Receiving &gt; Receiving &gt; Order Requisitions</t>
  </si>
  <si>
    <t xml:space="preserve">2. COGS project is madatory and Non-COGS cost center is Mandatory. </t>
  </si>
  <si>
    <t>1. Add the vendor name and amount.
2. Mark all the PRs to be proposed to the Purchase Order
3. Then click on Submit button to create the Purchase Order</t>
  </si>
  <si>
    <t>PO is created successfully and PO number is generated</t>
  </si>
  <si>
    <t xml:space="preserve">3. GR/IR clearing account - for COGS Item receipt. </t>
  </si>
  <si>
    <t>SCM team can edit and add the other information and attach the file if there are any</t>
  </si>
  <si>
    <t>Confirm if the attachments to be attached are attached</t>
  </si>
  <si>
    <t xml:space="preserve">4. Once the PR is created needs to be locked for the creator. </t>
  </si>
  <si>
    <t>Taxes are calculated in the PO</t>
  </si>
  <si>
    <t>Check if the Taxes are calculated</t>
  </si>
  <si>
    <t xml:space="preserve">5. If the changes are making in PO or IR oR bill, then need a vaidating conditions. ( final dicision - if they need to made changes in Bill,  the user needs to be change Both PO and IR) </t>
  </si>
  <si>
    <t xml:space="preserve"> If there are any changes in amount and SUB FUNCTION after the PO is generated, the PO and PR needs to be cancelled, and the new PR needs to be created. </t>
  </si>
  <si>
    <t>Confirm if there is no changes in the PO
if there are any changes in the SUB FUNCTION or Amount, cancel the PO</t>
  </si>
  <si>
    <t>6. Need to have the CSV option to vendor bill payment hold page</t>
  </si>
  <si>
    <t>PTP38</t>
  </si>
  <si>
    <t>Blanket Purchase Order</t>
  </si>
  <si>
    <t>Navigation: Receiving &gt; Receiving &gt; Enter Purchase Orders</t>
  </si>
  <si>
    <t>1. To create the Purchase Order, enter the Vendor name, Subsidiary, currency, Items, quantity, rate, SUB FUNCTION, Class, location, Order Types.
2. Attach the files if there are any
3. then click on the Save button to save the transaction</t>
  </si>
  <si>
    <t>For Blanket PO, there should be 12 lines for each month
Add multiple lines (more than 12 lines) if PO needs to be created for more than 12 months</t>
  </si>
  <si>
    <t>Confirm if the PO is created successfully</t>
  </si>
  <si>
    <t>Procure to Pay: Item Receipt</t>
  </si>
  <si>
    <t>PTP39</t>
  </si>
  <si>
    <t>Item Receipt</t>
  </si>
  <si>
    <t>COGS Item Receipt</t>
  </si>
  <si>
    <t>Navigation: Receiving &gt; Receiving &gt; Receive Orders</t>
  </si>
  <si>
    <t>Transactions &gt; Purchases &gt; Receive Orders</t>
  </si>
  <si>
    <t>1. Click on "Receive" button to receive the items
2. Enter the quantity to receive, product serial number, warranty dates, subscription dates, and software support end date if there are any
3. Click on Save button to save the transaction</t>
  </si>
  <si>
    <t>1. Item Receipt is created successfully
2. GL Impact: DB: Deferred COGS and CR: Accrued Liability</t>
  </si>
  <si>
    <t>Finance Head</t>
  </si>
  <si>
    <t xml:space="preserve">As a month end process, the finance team will create the Journal Entry manually in NetSuite to post the amount from the Deferred COGS to the Actual COGS month on month. </t>
  </si>
  <si>
    <t>1. Journal Entry is created successfully
2. GL Impact: DB: Actual COGS; CR: Deferrd COGS</t>
  </si>
  <si>
    <t>Procure to Pay: Deferred COGS to COGS Movement</t>
  </si>
  <si>
    <t>PTP40</t>
  </si>
  <si>
    <t>Deferred COGS to COGS movement</t>
  </si>
  <si>
    <t>1. List all the Item Receipts with Deferred COGS account in the custom suitelet page
2. Select the transctions to post the amount to COGS
3. Click on Submit</t>
  </si>
  <si>
    <t>Confirm if all the Item Receipts are listed</t>
  </si>
  <si>
    <t xml:space="preserve">A single reclassification Journal Entry is created to post the maount from deferred COGS to Actual COGS per subsidiary </t>
  </si>
  <si>
    <t>Confirm if a reclassification JE is created per subsidiary</t>
  </si>
  <si>
    <t>Procure to Pay: Vendor Bill</t>
  </si>
  <si>
    <t>Procure to Pay: PO Vendor Bill</t>
  </si>
  <si>
    <t>PTP41</t>
  </si>
  <si>
    <t>PO Vendor Bill</t>
  </si>
  <si>
    <t>Navigation: Vendors &gt; Purchases &gt; Enter Bill</t>
  </si>
  <si>
    <t xml:space="preserve">1. Click on Bill button from the Purchase Order
2. All the information like vendor name, location, rate, Subsidiary, currency, date, and posting period will be automatically populated. 
3. Enter other information and attach the file if there are any
4. Provide the reference number and save the record
</t>
  </si>
  <si>
    <t>1. Vendor Bill is created successfully in the Pending Approval status</t>
  </si>
  <si>
    <t>Once the vendor bill is saved, it is routed to 3 way matching approval</t>
  </si>
  <si>
    <t>Confirm if the 3 way match workflow is triggered</t>
  </si>
  <si>
    <t>PTP42</t>
  </si>
  <si>
    <t xml:space="preserve">8.1.1 </t>
  </si>
  <si>
    <t>Supervisor</t>
  </si>
  <si>
    <t>Approval - 3 Way Match</t>
  </si>
  <si>
    <t>If the quantity, amount and location of the Purchase Order, GRN and Vendor Invoice are same, the Vendor Bill is auto approved. </t>
  </si>
  <si>
    <t>Check if the Quantity, Amount and Location in PO, IR and VB are same</t>
  </si>
  <si>
    <t>If there are any discrepancies in the quantity, amount and location of the Purchase Order, GRN and Vendor Invoice, then Vendor Invoice is routed to Supervisor for the approval. </t>
  </si>
  <si>
    <t>Once the Supervisor approve the Vendor Invoice, it will be posted </t>
  </si>
  <si>
    <t>Confirm if there is no discrepency with location, amount and quantity in PO, IR and VB</t>
  </si>
  <si>
    <t>Once the Invoice is approved and posted, the date on which on the invoice is posted will be captured in the Posting Date field (custom field) and the Payment Hold checkbox will be checked.</t>
  </si>
  <si>
    <t>Check if the Posting Date (approved date) is captured</t>
  </si>
  <si>
    <t>If the Vendor bill is rejected by Supervisor, then the Creator needs to make the changes and resubmit the bill</t>
  </si>
  <si>
    <t>Confirm if the Vendor Bill is rejected and it is routed to creator for review
once the creator resubmits, confirm if the approval is routed to Supervisor for reapproval</t>
  </si>
  <si>
    <t>Procure to Pay: Landed Cost Vendor Bill</t>
  </si>
  <si>
    <t>PTP43</t>
  </si>
  <si>
    <t>Landed Cost Vendor Bill</t>
  </si>
  <si>
    <t>Transactions &gt; Payable &gt; Enter bills</t>
  </si>
  <si>
    <t xml:space="preserve">1. To create the vendor bill enter the Reference Number, Vendor name, location, and rate. Subsidiary, currency, date, and posting period will be automatically populated. 
2. Select SUB FUNCTION, Class and location under segmentation.
3. Under the Expenses and Items subtab select Items, SUB FUNCTION, Class, and Amount and landed cost category.
4. Then click on the save button to save this transaction.
</t>
  </si>
  <si>
    <t>Vendor Bill is successfully created in Pending Approval status</t>
  </si>
  <si>
    <t>Approval Process will follow the non-PO approval matrix.</t>
  </si>
  <si>
    <t>Confirm if the bill undergoes approval and are approved by correct approvers</t>
  </si>
  <si>
    <t>Procure to Pay: Fixed Asset Vendor Bill</t>
  </si>
  <si>
    <t>PTP44</t>
  </si>
  <si>
    <t>Fixed Asset Vendor Invoice</t>
  </si>
  <si>
    <t xml:space="preserve">1. To create the vendor bill, enter the Reference Number, Vendor name, location, and rate. Subsidiary, currency, date, and posting period will be automatically populated. 
2. Select SUB FUNCTION, Class and location under segmentation.
3. Enter the Items (tagged with Fixed Asset Account), Quantity, Rate and amount or the expense account (Fixed Asset account)and amount.
3. Then click on the save button to save this transaction.
</t>
  </si>
  <si>
    <t>If the actual Expense account is tagged, create a journal entry to move the amount from actual expense account to fixed asset account</t>
  </si>
  <si>
    <t>Confirm if the Journal entry is created with the right account and correct amount</t>
  </si>
  <si>
    <t>Procure to Pay: Standalone Vendor Bill (Non-PO Vendor Bill)</t>
  </si>
  <si>
    <t>PTP45</t>
  </si>
  <si>
    <t>Standalone Vendor Bill (Non-PO Bill)
Credit Card Payment Bill
Direct Debits</t>
  </si>
  <si>
    <t>1. To create the vendor bill enter the Reference Number, Vendor name, location, and rate. Subsidiary, currency, date, and posting period will be automatically populated. 
2. Select SUB FUNCTION, Class and location under segmentation.
3. Enter the Items, Quantity, Rate and amount or the expense account and amount.
4. Then click on the save button to save this transaction.</t>
  </si>
  <si>
    <t>Procure to Pay: Non-PO BILL Approval - SUB FUNCTION: Managed Services</t>
  </si>
  <si>
    <t>PTP46</t>
  </si>
  <si>
    <t>Procure to Pay: Non-PO BILL Approval - SUB FUNCTION: Customer Support</t>
  </si>
  <si>
    <t>PTP47</t>
  </si>
  <si>
    <t>Procure to Pay: Non-PO BILL Approval - SUB FUNCTION: DELIVERY</t>
  </si>
  <si>
    <t>PTP48</t>
  </si>
  <si>
    <t>Procure to Pay: Non-PO BILL Approval - SUB FUNCTION: LEGAL</t>
  </si>
  <si>
    <t>PTP49</t>
  </si>
  <si>
    <t>Procure to Pay: Non-PO BILL Approval - SUB FUNCTION: HR</t>
  </si>
  <si>
    <t>PTP50</t>
  </si>
  <si>
    <t>Procure to Pay: Non-PO BILL Approval - SUB FUNCTION: IT</t>
  </si>
  <si>
    <t>PTP51</t>
  </si>
  <si>
    <t>Procure to Pay: Non-PO BILL Approval - SUB FUNCTION: ACCOUNTING</t>
  </si>
  <si>
    <t>PTP52</t>
  </si>
  <si>
    <t>Procure to Pay: Non-PO BILL Approval - SUB FUNCTION: TAX</t>
  </si>
  <si>
    <t>PTP53</t>
  </si>
  <si>
    <t>Procure to Pay: Non-PO BILL Approval - SUB FUNCTION: FACILITIES &amp; FPA</t>
  </si>
  <si>
    <t>PTP54</t>
  </si>
  <si>
    <t>Procure to Pay: Non-PO BILL Approval - SUB FUNCTION: COMPLIANCE</t>
  </si>
  <si>
    <t>PTP55</t>
  </si>
  <si>
    <t>Procure to Pay: Non-PO BILL Approval - SUB FUNCTION: ENGINEERING</t>
  </si>
  <si>
    <t>PTP56</t>
  </si>
  <si>
    <t>Procure to Pay: Non-PO BILL Approval - SUB FUNCTION: SALES</t>
  </si>
  <si>
    <t>PTP57</t>
  </si>
  <si>
    <t>Procure to Pay: Non-PO BILL Approval - SUB FUNCTION: CLOUD OPS</t>
  </si>
  <si>
    <t>PTP58</t>
  </si>
  <si>
    <t>Procure to Pay: Non-PO BILL Approval - SUB FUNCTION: MARKETING</t>
  </si>
  <si>
    <t>PTP59</t>
  </si>
  <si>
    <t>Procure to Pay: Non-PO BILL Approval - SUB FUNCTION: PRODUCT MANAGEMENT - NO RISK</t>
  </si>
  <si>
    <t>PTP60</t>
  </si>
  <si>
    <t>Procure to Pay: Non-PO BILL Approval - SUB FUNCTION: TESTING HARDWARE</t>
  </si>
  <si>
    <t>PTP61</t>
  </si>
  <si>
    <t>Product Management - Risk - 
Testing Hardware</t>
  </si>
  <si>
    <t>Procure to Pay: Non-PO BILL Approval - SUB FUNCTION: OPERATION</t>
  </si>
  <si>
    <t>PTP62</t>
  </si>
  <si>
    <t>Procure to Pay: Non-PO BILL Approval - SUB FUNCTION: TECHNOLOGY</t>
  </si>
  <si>
    <t>PTP63</t>
  </si>
  <si>
    <t>PTP64</t>
  </si>
  <si>
    <t>Procure to Pay: Non-PO Bill Approval Delegators</t>
  </si>
  <si>
    <t>PTP65</t>
  </si>
  <si>
    <t>Procure to Pay: Non-PO Vendor Bill Approval - REJECTION</t>
  </si>
  <si>
    <t>PTP66</t>
  </si>
  <si>
    <t>Confirm if the PR is rejected and creator is notified
Once the creator submits the PR, the approval process shouls route from the beginning</t>
  </si>
  <si>
    <t>Procure to Pay: Non-PO Bill Budget Reallocation</t>
  </si>
  <si>
    <t>PTP67</t>
  </si>
  <si>
    <t>Check the POs that are cancelled and the amount to be reallocated to the Custom Budget</t>
  </si>
  <si>
    <t>Confirm the cancelled POs</t>
  </si>
  <si>
    <t>The manual calculation to be done to convert the Budget Amount from transaction currency to the USD</t>
  </si>
  <si>
    <t>Confirm the budgetted amount cancelled</t>
  </si>
  <si>
    <t>Edit the relevant Budget record of the GL account and update the Available Budget</t>
  </si>
  <si>
    <t>Confirm if the right amount is updated in the available field</t>
  </si>
  <si>
    <t>Then Click on "Budget Reallocated" button in the PO to confirm that the budget is reallocated</t>
  </si>
  <si>
    <t>Confirm if the PO is removed from the saved search</t>
  </si>
  <si>
    <t>Procure to Pay: Intercompany Process</t>
  </si>
  <si>
    <t>Procure to Pay: Intercompany Purchase Order</t>
  </si>
  <si>
    <t>PTP68</t>
  </si>
  <si>
    <t>Intercompany Process</t>
  </si>
  <si>
    <t>Purchasing Manager / Procurement Executive</t>
  </si>
  <si>
    <t>Intercompany PO</t>
  </si>
  <si>
    <t>Navigation: Receiving &gt; Receiving &gt; Enter Purchase Order</t>
  </si>
  <si>
    <t>1. Create the Intercompany Purchase Order by adding the intercompany vendor in the vendor field and intercompany customer in the subsidiary field.
2.  Add the subsidiary, currency, items, quantity, rate and amount
3. then click on Save button to save the record
4. NO APPROVAL PROCESS</t>
  </si>
  <si>
    <t xml:space="preserve">Intercompany Purchase Order  is created </t>
  </si>
  <si>
    <t>Then, from the Manage Sales Order page, select the Orders which needs to be created as the Sales Order and hit Submit</t>
  </si>
  <si>
    <t>Intercompany Sales Order  is created automatically</t>
  </si>
  <si>
    <t>Procure to Pay: Intercompany Vendor Bill</t>
  </si>
  <si>
    <t>PTP69</t>
  </si>
  <si>
    <t>Intercompany Bill to Intercompany Invoice</t>
  </si>
  <si>
    <t xml:space="preserve">1. To create the vendor bill enter the Reference Number, Vendor name, location, and rate. Subsidiary, currency, date, and posting period will be automatically populated. 
2. Select SUB FUNCTION, Class and location under segmentation.
3. Under the Expenses and Items subtab select Items, SUB FUNCTION, Class, and Amount
4. Then click on the save button to save this transaction.
</t>
  </si>
  <si>
    <t>Confirm if the intercompany Vendor Bill is successfully created.</t>
  </si>
  <si>
    <t>Customization</t>
  </si>
  <si>
    <t>When the intercompany Bill is created and approved, the Intercompany Invoice will be created automatically</t>
  </si>
  <si>
    <t>1. If the Vendor Bill is created from PO, PO should be in pending bill status
2. Confirm if the Intercompany Invoice is created automatically and bill is tagged in the linked intercompany transction field</t>
  </si>
  <si>
    <t>Billing | Assistant Manager</t>
  </si>
  <si>
    <t>Intercompany Invoice to Intercompany Bill</t>
  </si>
  <si>
    <t xml:space="preserve">Navigation: </t>
  </si>
  <si>
    <t xml:space="preserve">1. To create the invoive enter the Reference Number, customer name, location, and rate. Subsidiary, currency, date, and posting period will be automatically populated. 
2. Select SUB FUNCTION, Class and location under segmentation.
3. Under the Items subtab select Items, SUB FUNCTION, Class, and Amount
4. Then click on the save button to save this transaction.
</t>
  </si>
  <si>
    <t>Confirm if the intercompany Invoice is created successfully</t>
  </si>
  <si>
    <t>When the intercompany invoice is approved by the approver, the Intercompany Vendor Invoice will be created automatically (PO should be in pending bill status)</t>
  </si>
  <si>
    <t>1. If the invoice is created from SO, SO should be in pending bill status
2. Confirm if the Intercompany Bill is created automatically and invoice is tagged in the linked intercompany transaction field</t>
  </si>
  <si>
    <t>Procure to Pay: Intercompany Vendor Credit</t>
  </si>
  <si>
    <t>PTP70</t>
  </si>
  <si>
    <t>Intercompany Credit Memo to Intercompany Bill Credit</t>
  </si>
  <si>
    <t>1. Create the Intercompany Credit memo by adding the intercompany customer in the customer field 
2.  Add the subsidiary, currency, items, quantity, rate and amount
3. then click on Save button to save the record</t>
  </si>
  <si>
    <t>Confirm if the intercompany  Credit Memo is created successfully</t>
  </si>
  <si>
    <t>When the Intercompany Credit Memo is created, the Intercompany Bill Credit to be created automatically</t>
  </si>
  <si>
    <t>Confirm if the Intercompany Bill Credit is created automatically and it is tagged in the linked intercompany transaction field</t>
  </si>
  <si>
    <t>Intercompany Bill Credit to Intercompany Credit Memo</t>
  </si>
  <si>
    <t>Navigation: Vendors &gt; Accounts Payable &gt; Enter Vendor Credits</t>
  </si>
  <si>
    <t>1. Create the Intercompany bill Credit by adding the intercompany vendor in the vendor field 
2.  Add the subsidiary, currency, items, quantity, rate and amount
3. then click on Save button to save the record</t>
  </si>
  <si>
    <t>Confirm if the intercompany  Bill Credit is created successfully</t>
  </si>
  <si>
    <t>When the Intercompany Bill Credit is created, the Intercompany Credit Memo to be created automatically</t>
  </si>
  <si>
    <t>Confirm if the Intercompany Credit Memo s created automatically and it is tagged in the linked intercompany transaction field</t>
  </si>
  <si>
    <t>Procure to Pay: Vendor Prepayment</t>
  </si>
  <si>
    <t>PTP71</t>
  </si>
  <si>
    <t>Vendor Prepayment</t>
  </si>
  <si>
    <t>Navigation: Vendors &gt; Accounts Payable &gt; Enter Vendor Prepayment</t>
  </si>
  <si>
    <t>1. To create the vendor prepayment, enter the vendor name, subsidiary, currency and the prepaid amount
2. Enter the Cash account, SUB FUNCTION, location and Class
3. Then click on Save button to save the record</t>
  </si>
  <si>
    <t>1. Vendor Prepayment record is successfully created
2. GL Impact: DB: Advances to Vendor account
CR: Cash</t>
  </si>
  <si>
    <t>PTP72</t>
  </si>
  <si>
    <t>Vendor Prepayment Application</t>
  </si>
  <si>
    <t>Click on "Apply" Button in the vendor prepayment record
When the Vendor Prepayment is applied to the open Bill, it creates the vendor prepayment application record</t>
  </si>
  <si>
    <t xml:space="preserve">Confirm if the Prepayemnt is applied to the Bill
</t>
  </si>
  <si>
    <t>1. Click on "Apply" button and from the list select the Open Bills to apply the prepayment amount
2. Click on Save button to save the record</t>
  </si>
  <si>
    <t>1. Vendor Prepayment application record is created successfully
2. GL Impact: DB: AP; CR: Advances to vendor account</t>
  </si>
  <si>
    <t>Procure to Pay: Vendor Payments</t>
  </si>
  <si>
    <t>Procure to Pay: Weekly Check Run</t>
  </si>
  <si>
    <t>PTP73</t>
  </si>
  <si>
    <t>Vendor Payment</t>
  </si>
  <si>
    <t>Controller</t>
  </si>
  <si>
    <t>Weekly Check Run Process</t>
  </si>
  <si>
    <t>CRP1</t>
  </si>
  <si>
    <t>Controller to review and approve the list of bill to be released to make payments</t>
  </si>
  <si>
    <t>Confirm all the bills are approved to make the payment
Confirm if the Payment Hold checkbox is unchecked once the bills are approved</t>
  </si>
  <si>
    <t xml:space="preserve">7. Filter in Payment hold page currency
8. Need to give the role permission to SCM head dashabord. and Sam - Tearsury head need a controll. 
9. Need to create a role Teasury Head
</t>
  </si>
  <si>
    <t>Treasury Team</t>
  </si>
  <si>
    <t>1. Select the Bank Account, AP Account and enter the EFT reference note, SUB FUNCTION, class and location
2. Select the bills from the list that needs to be paid
3. Click on Submit to make the payment
4. Remittance email is sent to the vendor copying the treasury team</t>
  </si>
  <si>
    <t>1. Bill Payment is created succesfully
2. EFT text file is generated successfully
3. GL Impact: DB: AP &amp; CR: Cash</t>
  </si>
  <si>
    <t>10. Bill payment PDF - Need a Tax details in the Bill payment breakdown of the amount 
11. Need a list of contries we need a that contains different taxes - that we need to source the PDF</t>
  </si>
  <si>
    <t>Download the text file and upload in the bank portal</t>
  </si>
  <si>
    <t>Confirm if the Bill Payment has been completed and the file is generated</t>
  </si>
  <si>
    <t>Procure to Pay: Bank Fees / Bank Guarantee fees</t>
  </si>
  <si>
    <t>PTP74</t>
  </si>
  <si>
    <t>Bank Fees /  Bank Guarantee</t>
  </si>
  <si>
    <t>1. Enter the Subsidiary, Currency, Account, amount, SUB FUNCTION, location, class and line description
2. Click on Save button to save the transaction</t>
  </si>
  <si>
    <t>Confirm the GL impact: 
DB: Cash; CR: AP</t>
  </si>
  <si>
    <t>Procure to Pay: Statement of Account from Vendor</t>
  </si>
  <si>
    <t>PTP75</t>
  </si>
  <si>
    <t>Statement of Account from Vendor</t>
  </si>
  <si>
    <t>To send email to Vendor to request the Statement of Account, the workflow to send email to vendor requesting for the Statement o Account every 30 days</t>
  </si>
  <si>
    <t>Email is sent to the vendor</t>
  </si>
  <si>
    <t>Procure to Pay: COGS &amp; Non-COGS Vendor Return Authorization</t>
  </si>
  <si>
    <t>PTP76</t>
  </si>
  <si>
    <t>Vendor Returns</t>
  </si>
  <si>
    <t>Purchasing Manager</t>
  </si>
  <si>
    <t>1. If there are defective items, either partially receive the good quantities or if received fully, edit and remove the defective quantitities from the Item Receipt
2. Once the replacement quantity is received, receive the remaining quantities
3. Click on Save button to save the ecord</t>
  </si>
  <si>
    <t>1. Check if the defective quantities are removed the IR
2. Replacement quantities are received and created as the IR</t>
  </si>
  <si>
    <t>If the user wants to scrap the defective items and not return to vendor, then the user can do the negative inventory adjustment. 
Navigation:
1. Select the Subsidiary, inventory adjustment reason, Inventory adjustment account
2. Under items subtab, Select the items which need to be adjusted and enter the adjustment quantity and serial number ( If applicable) and save the record</t>
  </si>
  <si>
    <t>1. Check if the Inventory Adjustment is created successfully
2. GL Impact: DB: Inv Adj Account &amp; CR: Inventory Asset</t>
  </si>
  <si>
    <t>Procure to Pay: Inventory Use Cases</t>
  </si>
  <si>
    <t>Procure to Pay: Inventory Purchase Order</t>
  </si>
  <si>
    <t>PTP77</t>
  </si>
  <si>
    <t>Inventory Purchase Order</t>
  </si>
  <si>
    <t>Inventory Manager</t>
  </si>
  <si>
    <t>1. To create the Purchase Order,  add the vendor in the vendor field, subsidiary, currency, Transaction Order Type, items, quantity, rate and amount
2. Enter the Order Type
2. Click on Save button to save the record</t>
  </si>
  <si>
    <t>PO is created successfully</t>
  </si>
  <si>
    <t xml:space="preserve">1. They need to provide the item list to customize
2. Once hit the submit for approval, need to lock the record in portal.
3. If the inventory PO- terms changed we will give the report. 
4. Mobileum team need to confirm the 3rd way matching (angnao) 
5. For Freight chargers - We need to mandatory the field. 
6. Default the Value as a allocation method. 
7. GR/ IR landed cost account need to create. - Mobileum </t>
  </si>
  <si>
    <t xml:space="preserve"> Tax is not calculated for the Inventory Purchase Order.</t>
  </si>
  <si>
    <t>tax is not calculated</t>
  </si>
  <si>
    <t>8. display name to add next to the item column on vendor bill.</t>
  </si>
  <si>
    <t>The Inventory Manager clicks on button "Submit for Approval" to route the PO for approval to Inventory Supervisor</t>
  </si>
  <si>
    <t>Confirm if the PO is routed to Inventory Supervisor for approval</t>
  </si>
  <si>
    <t xml:space="preserve">9. Need to add item description, vendor Item code Need from mobileum team. </t>
  </si>
  <si>
    <t>PTP78</t>
  </si>
  <si>
    <t>Inventory Supervisor</t>
  </si>
  <si>
    <t>Inventory PO Approval</t>
  </si>
  <si>
    <t>Inventory Manager review and approves the Purchase Order. Once approved, PO can be received</t>
  </si>
  <si>
    <t>1. PO is approved, status is pending receipt
2. PO is ready for receiving</t>
  </si>
  <si>
    <t xml:space="preserve">10. Any format is okay! PDF 
11. PDF changes needs to be send to Germany item. </t>
  </si>
  <si>
    <t>If the PO is rejected by Inventory Manager, the Purchasing Manager to review and resubmit the PO for approval again</t>
  </si>
  <si>
    <t>1. PO is rejected and the status is Rejected</t>
  </si>
  <si>
    <t>Procure to Pay: Inventory Item Receipt</t>
  </si>
  <si>
    <t>PTP79</t>
  </si>
  <si>
    <t>Inventory Item Receipt</t>
  </si>
  <si>
    <t>Inventory Manager &amp; Inventory Supervisor</t>
  </si>
  <si>
    <t>1. Click on "Receive" button to receive the items
2. Enter the quantity to receive and the serial number if its Serial Item
3. then click on Save button to save the transaction</t>
  </si>
  <si>
    <t>1. Check if the Item Receipt is created successfully
2. GL impact: DB: Inventory Asset; CR: Accrued Purchases</t>
  </si>
  <si>
    <t>Procure to Pay: Inventory Vendor Bill</t>
  </si>
  <si>
    <t>PTP80</t>
  </si>
  <si>
    <t>Inventory Vendor Invoice</t>
  </si>
  <si>
    <t>Navigation: Receiving &gt; Others&gt; Enter Bill</t>
  </si>
  <si>
    <t>Check if the Bill is successfully created and The Invoice is created for the total number of quantities received</t>
  </si>
  <si>
    <t>OOB</t>
  </si>
  <si>
    <t>Vendor Bill Approval</t>
  </si>
  <si>
    <t>1. Vendor Bill is approved and posted
2. GL Impact: DB: Accrued Liability; CR; AP</t>
  </si>
  <si>
    <t>Procure to Pay: Inventory Vendor Return Authorization</t>
  </si>
  <si>
    <t>Procure to Pay: Inventory Vendor Return Authorization - Non Repairable Returns</t>
  </si>
  <si>
    <t>PTP81</t>
  </si>
  <si>
    <t>Inventory Vendor Returns</t>
  </si>
  <si>
    <t>1. To create the Vendor Return Authorization, enter the Vendor Name, Subsidiary, Currency, Items, Quantity, rate, SUB FUNCTION, Class and location
2. Enter the SUB FUNCTION, Class and Location under the segmentation
3. Click on Save to save the record</t>
  </si>
  <si>
    <t>Vendor Return Authorization is successfully created and the status is Pending return</t>
  </si>
  <si>
    <t>Item Fulfilment</t>
  </si>
  <si>
    <t>1. Click on "Fulfill" button from the Vendor Return Authorization record
2. Enter the quantity and Serial Number of the item to fulfil
3. Click on Save button to save the record</t>
  </si>
  <si>
    <t>Confirm the GL impact: 
DB: COGS; CR: Inventory</t>
  </si>
  <si>
    <t>Finance Manager</t>
  </si>
  <si>
    <t>Bill Credit</t>
  </si>
  <si>
    <t>1. Click on "Credit" button from the Vendor Return Authorization
2. Review the details retreived from the vendor return record
3. Click on Save button to save the record</t>
  </si>
  <si>
    <t>Confirm the GL impact: 
DB: AP; CR: Expense</t>
  </si>
  <si>
    <t>Then apply the Bill Credit against the open Bill</t>
  </si>
  <si>
    <t>Confirm if the Bill Credit is applied agaisnt the bill
GL impact:
DB: AP
CR: Expenses</t>
  </si>
  <si>
    <t>PTP82</t>
  </si>
  <si>
    <t>Repairable Returns</t>
  </si>
  <si>
    <t xml:space="preserve">If the user wants to scrap the defective items and not return to vendor, then the user can do the negative inventory adjustment. </t>
  </si>
  <si>
    <t>Check if the Inventory Adjustment is created successfully</t>
  </si>
  <si>
    <t>Procure to Pay: AMC Process</t>
  </si>
  <si>
    <t>PTP 83</t>
  </si>
  <si>
    <t>AMC Process</t>
  </si>
  <si>
    <t>1. Create a SLA document with all the required details like penalty information, project name, customer name, vendor name</t>
  </si>
  <si>
    <t>Add the vendor name and project name for the Vendor SLA</t>
  </si>
  <si>
    <t>Add the customer name and project name for the Customer SLA</t>
  </si>
  <si>
    <t>Check if the SLAs are tagged in the project</t>
  </si>
  <si>
    <t>Tag the associated project in the transactions</t>
  </si>
  <si>
    <t>Add the Customer Initial Warranty Start Date &amp; Customer Initial Warranty End Date and Vendor Initial Warranty Start Date &amp; Vendor Initial Warranty End Date in the project</t>
  </si>
  <si>
    <t>COGS Budget will be imported in the custom record annually by Accounting Team</t>
  </si>
  <si>
    <t>Send email notification from NetSuite for the renewals before 90 days to the Warranty end date</t>
  </si>
  <si>
    <t>Sl.No</t>
  </si>
  <si>
    <t>Date Received</t>
  </si>
  <si>
    <t>Action Items</t>
  </si>
  <si>
    <t>Process</t>
  </si>
  <si>
    <t>Comments</t>
  </si>
  <si>
    <t>Change the Sender Email for onboard URL &amp; for all Emails</t>
  </si>
  <si>
    <t>Vendor Onboarding Form</t>
  </si>
  <si>
    <t>Script</t>
  </si>
  <si>
    <t>Team to share the sender email address</t>
  </si>
  <si>
    <t xml:space="preserve">Add PST next too expiry date </t>
  </si>
  <si>
    <t xml:space="preserve">Report: Emails that are sent to vendor for onboarding form </t>
  </si>
  <si>
    <t>UI</t>
  </si>
  <si>
    <t>Mobileum | Sent Email List</t>
  </si>
  <si>
    <t xml:space="preserve">MSME vendor - Terms default to Net45 </t>
  </si>
  <si>
    <t xml:space="preserve">Change label of Billing Contact to - Finance Contact </t>
  </si>
  <si>
    <t>Remove AR contact and replace with Vendor POC and have name and email address (repurpose the AR contact fields in NS)</t>
  </si>
  <si>
    <t xml:space="preserve">default Bank detail country to Country </t>
  </si>
  <si>
    <t xml:space="preserve">default bank account name to legal name </t>
  </si>
  <si>
    <t>Add doc link options for different docs for vendor details &amp; bank</t>
  </si>
  <si>
    <t xml:space="preserve">Vendor categories field - multi select </t>
  </si>
  <si>
    <t xml:space="preserve">subsidiary in bank details - make it empty </t>
  </si>
  <si>
    <t>Vendor Master</t>
  </si>
  <si>
    <t xml:space="preserve">vendor validation - finance review - check email content </t>
  </si>
  <si>
    <t>Email Template</t>
  </si>
  <si>
    <t>Approval for additional bank details after vendor is being created</t>
  </si>
  <si>
    <t>Vendor Bank Details</t>
  </si>
  <si>
    <t>Workflow</t>
  </si>
  <si>
    <t>Report: vendor by GST details</t>
  </si>
  <si>
    <t>Saved Search</t>
  </si>
  <si>
    <t>Mobileum | Vendor by GST Details</t>
  </si>
  <si>
    <t>Report: List of vendors created in UI</t>
  </si>
  <si>
    <t>Mobileum | List of vendors created in UI</t>
  </si>
  <si>
    <t>TAT Report: time between different process</t>
  </si>
  <si>
    <t>vendor onboarding: SCM to send URL - Vendor fill details - submit form - vendor created in NS - SCM review - Finance review - D&amp;B screening confirmation - SCM to sync the vendor to D&amp;B - change the vendor sync to D&amp;B to SCM</t>
  </si>
  <si>
    <t>add extension days in onboard custom record and extend the URL</t>
  </si>
  <si>
    <t>Custom Record</t>
  </si>
  <si>
    <t xml:space="preserve">Onboarding status, SCM reviewed by &amp; finance review by - gray out </t>
  </si>
  <si>
    <t>report - vendor master audit trail (all the new changes made)</t>
  </si>
  <si>
    <t>Mobileum | Vendor Master Audit Trail</t>
  </si>
  <si>
    <t>reorder country first and then state</t>
  </si>
  <si>
    <t>business and finance contact - make it as first and last name</t>
  </si>
  <si>
    <t>Share the email content of Onboarding Form to SCM team</t>
  </si>
  <si>
    <t>Email Content</t>
  </si>
  <si>
    <t>Share the email content of SCM Analyst Aopproval to SCM team</t>
  </si>
  <si>
    <t>Share the email content of Bill Payment to Treasury Team</t>
  </si>
  <si>
    <t>Date in PR gray Out</t>
  </si>
  <si>
    <t>Purchase Requisitions</t>
  </si>
  <si>
    <t>Form</t>
  </si>
  <si>
    <t>Suggested vendor - Remove Mandatory</t>
  </si>
  <si>
    <t>Send Rejection Email to Requestors</t>
  </si>
  <si>
    <t>Color difference between New / Resubmitted - Saved Search</t>
  </si>
  <si>
    <t>Add Tax Items &amp; Freight Items in PR &amp; test</t>
  </si>
  <si>
    <t>Throw alert if the non operating susbidiary is selected</t>
  </si>
  <si>
    <t>Share the COGS Approval Matrix to SCM Team</t>
  </si>
  <si>
    <t>Approval Matrix</t>
  </si>
  <si>
    <t>Add Estimated Total in USD field and do the calculation</t>
  </si>
  <si>
    <t>Change the COGS approval based on Estimated Total in USD</t>
  </si>
  <si>
    <t>Approval Resubmission should start from SCM Analyst</t>
  </si>
  <si>
    <t>Rename AP Manager to AP Analyst</t>
  </si>
  <si>
    <t>Make Project mandatory if Order Type = COGS</t>
  </si>
  <si>
    <t>Make Department mandatory if Order Type = Non COGS</t>
  </si>
  <si>
    <t>Add Item Category to the transaction line</t>
  </si>
  <si>
    <t>PO# -- 8 digits</t>
  </si>
  <si>
    <t>Purchase Order</t>
  </si>
  <si>
    <t>Rename Accrues Purchases account to GR/IR Clearing Account</t>
  </si>
  <si>
    <t>Account</t>
  </si>
  <si>
    <t>GR/IR Clearing Account</t>
  </si>
  <si>
    <t>Remove / Hide Rate in IR for Purchase Requestor role</t>
  </si>
  <si>
    <t>Restrict Supervisor from approving if the 3 way is not matching</t>
  </si>
  <si>
    <t>Bill</t>
  </si>
  <si>
    <t>Workflow + Script</t>
  </si>
  <si>
    <t>Add CSV &amp; Excel download option in Release Payment Suitelet Page</t>
  </si>
  <si>
    <t>Release Payment</t>
  </si>
  <si>
    <t>Add Amount in USD in Release Payment suitelet page</t>
  </si>
  <si>
    <t>Add Mark All &amp; should be visible only for Treasury Head</t>
  </si>
  <si>
    <t>Customize the Bill Payment PDF</t>
  </si>
  <si>
    <t>PDF Template</t>
  </si>
  <si>
    <t>Team to share the exact file</t>
  </si>
  <si>
    <t>Customize the PO PDF</t>
  </si>
  <si>
    <t>Add the email content for Bill Payment to the email template</t>
  </si>
  <si>
    <t>Share the PO PDF copy with SCM Team</t>
  </si>
  <si>
    <t>Send the list of countries that has WHT Tax</t>
  </si>
  <si>
    <t>Team to share the list of countries that has WHT</t>
  </si>
  <si>
    <t>Test the COGS Approval Process - End to End</t>
  </si>
  <si>
    <t>Lock the PR after the submitted for approval &amp; after the PR is approved</t>
  </si>
  <si>
    <t>Route the Approval for Payment Terms only when updates Term is less than the Default Term in Vendor Master</t>
  </si>
  <si>
    <t>Item Naming Convention - Need Confirmation from SCM</t>
  </si>
  <si>
    <t>Item</t>
  </si>
  <si>
    <t>3 Way Match Confirmation - Need Confirmation from Agnelo</t>
  </si>
  <si>
    <t>Report: List of PO - Default Terms vs PO Terms</t>
  </si>
  <si>
    <t>Rename Item Receitp to Good Receipt (GR)</t>
  </si>
  <si>
    <t>Rename Vendor Bill to Vendor Invoice (VI)</t>
  </si>
  <si>
    <t>Relabel Transaction Date to Invoice Date</t>
  </si>
  <si>
    <t>Add a field called Creation Date and map the date on which the Bill is created</t>
  </si>
  <si>
    <t>Send Automatic emails to vendor for Statement of Account for selective vendors</t>
  </si>
  <si>
    <t>send the vendors who has to receive emails automatically</t>
  </si>
  <si>
    <t>Send on Demand emails to vendor for Statement of Account</t>
  </si>
  <si>
    <t>AP Aging Report - Add Posting Date to the report</t>
  </si>
  <si>
    <t>Provide the List of Operating subsidiaries</t>
  </si>
  <si>
    <t>Send the list of documents to be uplaoded by the vendor for the vendor onboarding details and bank details</t>
  </si>
  <si>
    <t>Budget Creation &amp; Validation confirmation for COGS</t>
  </si>
  <si>
    <t>Confirm Roles</t>
  </si>
  <si>
    <t>Send the Bill Payment PDF to customize</t>
  </si>
  <si>
    <t>Send list of vendors for whom the Automatic emails for vendor for Statement of Account to be sent- to be managed internally</t>
  </si>
  <si>
    <t>Send the Sender Email &amp; Email Content for onboard URL &amp; for all Emails</t>
  </si>
  <si>
    <t>Deferred COGS to COGS automation</t>
  </si>
  <si>
    <t>Non COGS PR Approval - Dev</t>
  </si>
  <si>
    <t>Non COGS PR Approval - Testing</t>
  </si>
  <si>
    <t>Non PO Bill Approval - Dev</t>
  </si>
  <si>
    <t>Non PO Bill Approval - Testing</t>
  </si>
  <si>
    <t>EFT Templates - Dev</t>
  </si>
  <si>
    <t>Send the TAT Report</t>
  </si>
  <si>
    <t>Enable EFT for Vendor Prepayment</t>
  </si>
  <si>
    <t>rename transaction date to document date</t>
  </si>
  <si>
    <t>Send email to the Creator when the PO is approved and asking them to receive the items</t>
  </si>
  <si>
    <t>Saved Search: list of vendor invoices created but receipt is not done</t>
  </si>
  <si>
    <t>https://3657373-sb1.app.netsuite.com/app/common/search/searchresults.nl?searchid=1589&amp;saverun=T&amp;whence=</t>
  </si>
  <si>
    <t>42-AP vendor history payment history report to cover payment details, invoice details, debitcredit note details, GL account, department</t>
  </si>
  <si>
    <t>Customize the AP aging to add the posting date</t>
  </si>
  <si>
    <t>https://3657373-sb1.app.netsuite.com/app/reporting/reportrunner.nl?cr=409&amp;reload=T&amp;whence=&amp;siaT=1772709198144&amp;siaWhc=%2Fapp%2Faccounting%2Ftransactions%2Fvendbill.nl&amp;siaNv=ct2</t>
  </si>
  <si>
    <t>16-7. Account Details by Entity</t>
  </si>
  <si>
    <t>21-16. Global entity level open bank guarantees report with start and end date</t>
  </si>
  <si>
    <t>34-10 Vendor PO summary Report- At Consolidated and Entity levels</t>
  </si>
  <si>
    <t>https://3657373-sb1.app.netsuite.com/app/reporting/reportrunner.nl?cr=410&amp;customized=T&amp;whence=</t>
  </si>
  <si>
    <t>35-11 Vendor PO based purchases report- At Consolidated and Entity levels</t>
  </si>
  <si>
    <t>36-12. Inventory Report (Nio, Sigos etc)-At Consolidated and Entity levels</t>
  </si>
  <si>
    <t>https://3657373-sb1.app.netsuite.com/app/reporting/reportrunner.nl?cr=412&amp;customized=T&amp;whence=</t>
  </si>
  <si>
    <t>39. Vendor Bank accounts report</t>
  </si>
  <si>
    <t>48 GRIR Report - PO report with missing invoice entry GR entry</t>
  </si>
  <si>
    <t>https://3657373-sb1.app.netsuite.com/app/common/search/searchresults.nl?searchid=1602&amp;saverun=T&amp;whence=</t>
  </si>
  <si>
    <t>51-GL Dump with Vendor name &amp; Service description</t>
  </si>
  <si>
    <t>70 - Monthly transactions data requirements</t>
  </si>
  <si>
    <t>72.Inventory Listing Report as on 5th Jan 26</t>
  </si>
  <si>
    <t>73.Inventory Class Report as on 5th Jan 26</t>
  </si>
  <si>
    <t>76 - Vendor Master (entity wise)</t>
  </si>
  <si>
    <t>78. SPEND REPORT</t>
  </si>
  <si>
    <t>79. ITEM_DETAILS_PROJECT_LEVEL</t>
  </si>
  <si>
    <t>80 Sigos GmbH_ JE_Inventory valuation_31st dec'25&amp; inventory valuation</t>
  </si>
  <si>
    <t>93 SAVINGS DASHBOARD</t>
  </si>
  <si>
    <t>Mobileum | Vendor Invoices with Applied Payments</t>
  </si>
  <si>
    <t>https://3657373-sb1.app.netsuite.com/app/common/search/searchresults.nl?searchid=1590&amp;whence=</t>
  </si>
  <si>
    <t xml:space="preserve">Mobileum | 14-5. Consolidated-AP_Aging_Report </t>
  </si>
  <si>
    <t>https://3657373-sb1.app.netsuite.com/app/reporting/reportrunner.nl?cr=411&amp;customized=T&amp;whence=</t>
  </si>
  <si>
    <t>S.no</t>
  </si>
  <si>
    <t>Country</t>
  </si>
  <si>
    <t>Fields Missing</t>
  </si>
  <si>
    <t>Comment</t>
  </si>
  <si>
    <t>Template Used</t>
  </si>
  <si>
    <t>Singapore</t>
  </si>
  <si>
    <t>InstrInf</t>
  </si>
  <si>
    <t xml:space="preserve">We compared this with the sample XML file shared by Mobileum and noticed that the "InstrInf" tag is also missing in the example file. Additionally, after reviewing other Singapore-based EFT implementations, we found that the "InstrInf" tag is not present there as well. </t>
  </si>
  <si>
    <t>Mobileum | HSBC | Singapore</t>
  </si>
  <si>
    <t>TwnNm</t>
  </si>
  <si>
    <t>Added the tags to the template.</t>
  </si>
  <si>
    <t>PstCd</t>
  </si>
  <si>
    <t>Netherland</t>
  </si>
  <si>
    <t>Mobileum | HSBC | Netherland</t>
  </si>
  <si>
    <t>Condition</t>
  </si>
  <si>
    <t>Approvers</t>
  </si>
  <si>
    <t>Link</t>
  </si>
  <si>
    <t>Amount &gt; 5000</t>
  </si>
  <si>
    <t>SCM Head, Department Head &amp; CFO will approve the PR</t>
  </si>
  <si>
    <t>pr325</t>
  </si>
  <si>
    <t>https://3657373-sb1.app.netsuite.com/app/accounting/transactions/purchreq.nl?id=9245&amp;whence=</t>
  </si>
  <si>
    <t>Budget - Available</t>
  </si>
  <si>
    <t>Payment Term - Matches</t>
  </si>
  <si>
    <t>Prepayment - Paid</t>
  </si>
  <si>
    <t>SCM Head, Department Head will approve the PR</t>
  </si>
  <si>
    <t>pr326</t>
  </si>
  <si>
    <t>https://3657373-sb1.app.netsuite.com/app/accounting/transactions/purchreq.nl?id=9246&amp;whence=&amp;cmid=1770202010041_98985</t>
  </si>
  <si>
    <t>Prepayment - No</t>
  </si>
  <si>
    <t>SCM Head, Department Head, FPA &amp; CFO will approve the PR</t>
  </si>
  <si>
    <t>pr327</t>
  </si>
  <si>
    <t>https://3657373-sb1.app.netsuite.com/app/accounting/transactions/purchreq.nl?id=9247&amp;whence=&amp;cmid=1770202707728_99080</t>
  </si>
  <si>
    <t>Budget - not Available</t>
  </si>
  <si>
    <t>SCM Head, Department Head &amp; FPA will approve the PR</t>
  </si>
  <si>
    <t>pr328</t>
  </si>
  <si>
    <t>https://3657373-sb1.app.netsuite.com/app/accounting/transactions/purchreq.nl?id=9248&amp;whence=&amp;cmid=1770202809648_99111</t>
  </si>
  <si>
    <t>SCM Head, Department Head &amp; Corporate Controller will approve the PR</t>
  </si>
  <si>
    <t>pr329</t>
  </si>
  <si>
    <t>https://3657373-sb1.app.netsuite.com/app/accounting/transactions/purchreq.nl?id=9249&amp;whence=&amp;cmid=1770203003962_99254</t>
  </si>
  <si>
    <t>Payment Term - Do not Match &amp; amount &lt;50k</t>
  </si>
  <si>
    <t>Prepayment = No</t>
  </si>
  <si>
    <t>SCM Head, Department Head, Corporate Controller &amp; CFO will approve the PR</t>
  </si>
  <si>
    <t>https://3657373-sb1.app.netsuite.com/app/accounting/transactions/purchreq.nl?id=9250&amp;whence=&amp;cmid=1770203141121_99342</t>
  </si>
  <si>
    <t>Prepayment = Yes</t>
  </si>
  <si>
    <t>SCM Head, Department Head, COO &amp; CFO will approve the PR</t>
  </si>
  <si>
    <t>https://3657373-sb1.app.netsuite.com/app/accounting/transactions/purchreq.nl?id=9251&amp;whence=&amp;cmid=1770203206257_99373</t>
  </si>
  <si>
    <t>Payment Term - Do not Match &amp; amount &gt;50K</t>
  </si>
  <si>
    <t>SCM Head, Department Head &amp; COO will approve the PR</t>
  </si>
  <si>
    <t>https://3657373-sb1.app.netsuite.com/app/accounting/transactions/purchreq.nl?id=9252&amp;whence=&amp;cmid=1770203321761_99435</t>
  </si>
  <si>
    <t>Payment Term - Do not Match &amp; amount bet &gt;50K</t>
  </si>
  <si>
    <t>Amount &gt;5000</t>
  </si>
  <si>
    <t>SCM Head, Department Head, FPA, Corporate Controller &amp; CFO will approve the PR</t>
  </si>
  <si>
    <t>https://3657373-sb1.app.netsuite.com/app/accounting/transactions/purchreq.nl?id=9253&amp;whence=&amp;cmid=1770203450473_99510</t>
  </si>
  <si>
    <t>Budget - Not Available</t>
  </si>
  <si>
    <t>Payment Term - Not Matches &amp; Amount &lt;50K</t>
  </si>
  <si>
    <t>SCM Head, Department Head, FPA &amp; Corporate Controller will approve the PR</t>
  </si>
  <si>
    <t>https://3657373-sb1.app.netsuite.com/app/accounting/transactions/purchreq.nl?id=9254&amp;whence=&amp;cmid=1770203524471_99538</t>
  </si>
  <si>
    <t>SCM Head, Department Head, FPA, COO, &amp; CFO will approve the PR</t>
  </si>
  <si>
    <t>pr317</t>
  </si>
  <si>
    <t>https://3657373-sb1.app.netsuite.com/app/accounting/transactions/purchreq.nl?id=9255&amp;whence=&amp;cmid=1770203594741_99573</t>
  </si>
  <si>
    <t>Payment Term - Not Matches &amp; Amount bet &gt;50K</t>
  </si>
  <si>
    <t>SCM Head, Department Head, FPA &amp; COO will approve the PR</t>
  </si>
  <si>
    <t>https://3657373-sb1.app.netsuite.com/app/accounting/transactions/purchreq.nl?id=9256&amp;whence=&amp;cmid=1770203638722_99620</t>
  </si>
  <si>
    <t>pr321</t>
  </si>
  <si>
    <t>pass</t>
  </si>
  <si>
    <t>pr323</t>
  </si>
  <si>
    <t>pr322</t>
  </si>
  <si>
    <t>pr324</t>
  </si>
  <si>
    <t>Budget Available</t>
  </si>
  <si>
    <t>COGS Account</t>
  </si>
  <si>
    <t>Sales Description</t>
  </si>
  <si>
    <t>MNT-SEC-PRM</t>
  </si>
  <si>
    <t>Yes</t>
  </si>
  <si>
    <t>52002 Hardware Cost of Revenue - PPV and Valuation</t>
  </si>
  <si>
    <t>Annual Premium Support (7x24) sold stand alone without software</t>
  </si>
  <si>
    <t>SMSFW_HR</t>
  </si>
  <si>
    <t>No</t>
  </si>
  <si>
    <t>51011 License Cost of Revenue - TP Development</t>
  </si>
  <si>
    <t>Home Routing</t>
  </si>
  <si>
    <t>RWSVC-PM</t>
  </si>
  <si>
    <t>53301 Consulting Cost of Revenue - Track One</t>
  </si>
  <si>
    <t>RNS Delivery services on T&amp;M for Project Manager</t>
  </si>
  <si>
    <t>COUCH-4C32-MNT</t>
  </si>
  <si>
    <t>53001 Third Party Maintenance Cost</t>
  </si>
  <si>
    <t>Dialogic license rehosting to a different OS</t>
  </si>
  <si>
    <t>S.No</t>
  </si>
  <si>
    <t>Saved Search Name</t>
  </si>
  <si>
    <t>Publish Dashboard</t>
  </si>
  <si>
    <t>Mobileum | PO - Pending Inventory Supervisor Approval</t>
  </si>
  <si>
    <t>https://3657373-sb1.app.netsuite.com/app/common/search/searchresults.nl?searchid=1440&amp;whence=</t>
  </si>
  <si>
    <t>Mobileum | Rejected PO - To Resubmit (Inventory Manager)</t>
  </si>
  <si>
    <t>https://3657373-sb1.app.netsuite.com/app/common/search/searchresults.nl?searchid=1441&amp;whence=</t>
  </si>
  <si>
    <t>Mobileum | Inventory PO to Receive</t>
  </si>
  <si>
    <t>https://3657373-sb1.app.netsuite.com/app/common/search/searchresults.nl?searchid=1450&amp;saverun=T&amp;whence=</t>
  </si>
  <si>
    <t>Mobileum | Inventory PO to Bill</t>
  </si>
  <si>
    <t>https://3657373-sb1.app.netsuite.com/app/common/search/searchresults.nl?searchid=1451&amp;saverun=T&amp;whence=</t>
  </si>
  <si>
    <t>Mobileum | Inventory PO to make Payment</t>
  </si>
  <si>
    <t>https://3657373-sb1.app.netsuite.com/app/common/search/searchresults.nl?searchid=1452&amp;saverun=T&amp;whence=</t>
  </si>
  <si>
    <t>Mobileum | PRs Pending Review - SCM Analyst</t>
  </si>
  <si>
    <t>https://3657373-sb1.app.netsuite.com/app/common/search/searchresults.nl?searchid=1442&amp;whence=</t>
  </si>
  <si>
    <t>Mobileum | My Rejected PRs(Resubmit)</t>
  </si>
  <si>
    <t>Purchasing Team</t>
  </si>
  <si>
    <t>https://3657373-sb1.app.netsuite.com/app/common/search/searchresults.nl?searchid=1443&amp;whence=</t>
  </si>
  <si>
    <t>Mobileum | PR SCM Head Pending Approval</t>
  </si>
  <si>
    <t>https://3657373-sb1.app.netsuite.com/app/accounting/transactions/purchreq.nl?id=3623&amp;whence=</t>
  </si>
  <si>
    <t>Mobileum | PRs Pending SCM Head Approval</t>
  </si>
  <si>
    <t>https://3657373-sb1.app.netsuite.com/app/common/search/searchresults.nl?searchid=1444&amp;saverun=T&amp;whence=</t>
  </si>
  <si>
    <t>Mobileum | CFO -PRs Pending My Approval</t>
  </si>
  <si>
    <t>https://3657373-sb1.app.netsuite.com/app/common/search/searchresults.nl?searchid=1445&amp;saverun=T&amp;whence=</t>
  </si>
  <si>
    <t>Mobileum | Corporate Controller -PRs Pending My Approval</t>
  </si>
  <si>
    <t>https://3657373-sb1.app.netsuite.com/app/common/search/searchresults.nl?searchid=1446&amp;saverun=T&amp;whence=</t>
  </si>
  <si>
    <t>Report on changes in Vendor record</t>
  </si>
  <si>
    <t>D/B Sync fail issue</t>
  </si>
  <si>
    <t>Item Receipt report for Reclass JE to be provided</t>
  </si>
  <si>
    <t>Cancelled PR Report</t>
  </si>
  <si>
    <t>Cancelled PO Report</t>
  </si>
  <si>
    <t>https://3657373-sb1.app.netsuite.com/app/common/search/searchresults.nl?searchid=1453&amp;saverun=T&amp;whence=</t>
  </si>
  <si>
    <t>Savings dashboard report (Sec 4.1.1) – “AM” to provide template</t>
  </si>
  <si>
    <t>Need Clarification</t>
  </si>
  <si>
    <t>template is not given to us yet</t>
  </si>
  <si>
    <t>PO PDF with terms &amp; conditions below</t>
  </si>
  <si>
    <t>Is this related to Report</t>
  </si>
  <si>
    <t>this is PDF</t>
  </si>
  <si>
    <t>Invoice approval waiting for Supervisor approval</t>
  </si>
  <si>
    <t>Inventory Supervisor approval?</t>
  </si>
  <si>
    <t>3 way approval supervisor saved search</t>
  </si>
  <si>
    <t>Rejection reminder to be added on dashboard</t>
  </si>
  <si>
    <t>This will be done during dashboard publish</t>
  </si>
  <si>
    <t>COGS PR | Amount &lt;= 10K</t>
  </si>
  <si>
    <t>Mobileum | COGS PR | Amount &lt;= 10K</t>
  </si>
  <si>
    <t>COGS PR | Amount 10K–50K</t>
  </si>
  <si>
    <t>Mobileum | COGS PR | Amount 10K-50K</t>
  </si>
  <si>
    <t>COGS PR | Amount &gt;= 50K</t>
  </si>
  <si>
    <t>https://3657373-sb1.app.netsuite.com/app/common/search/searchresults.nl?searchid=1474&amp;saverun=T&amp;whence=</t>
  </si>
  <si>
    <t>COGS PR | Budget Available</t>
  </si>
  <si>
    <t>https://3657373-sb1.app.netsuite.com/app/common/search/searchresults.nl?searchid=1475&amp;saverun=T&amp;whence=</t>
  </si>
  <si>
    <t>COGS PR | Budget Not Available</t>
  </si>
  <si>
    <t>COGS PR | Payment Term Match</t>
  </si>
  <si>
    <t>https://3657373-sb1.app.netsuite.com/app/common/search/searchresults.nl?searchid=1477&amp;saverun=T&amp;whence=</t>
  </si>
  <si>
    <t>COGS PR | Payment Term Not Match</t>
  </si>
  <si>
    <t>https://3657373-sb1.app.netsuite.com/app/common/search/searchresults.nl?searchid=1478&amp;saverun=T&amp;whence=</t>
  </si>
  <si>
    <t>COGS PR | Prepayment &gt;= 5K</t>
  </si>
  <si>
    <t>list of vendors whose the end date is 90 days from today</t>
  </si>
  <si>
    <t>Vendor Expiry - 90 Days</t>
  </si>
  <si>
    <t>https://3657373-sb1.app.netsuite.com/app/common/search/searchresults.nl?searchid=1457&amp;whence=</t>
  </si>
  <si>
    <t>Dashboard Saved Search</t>
  </si>
  <si>
    <t>Criteria</t>
  </si>
  <si>
    <t>role to publish</t>
  </si>
  <si>
    <t>Mobileum | COGS PR - Waiting for Submit for Approval</t>
  </si>
  <si>
    <t>list of PRs; submit for SCM review = F,</t>
  </si>
  <si>
    <t>https://3657373-sb1.app.netsuite.com/app/common/search/searchresults.nl?searchid=1489&amp;saverun=T&amp;whence=</t>
  </si>
  <si>
    <t>Mobileum | COGS PR - Review by SCM Team</t>
  </si>
  <si>
    <t>list of PRs;  Submitted for SCM Head approval = F</t>
  </si>
  <si>
    <t>https://3657373-sb1.app.netsuite.com/app/common/search/savedsearch.nl?id=1490</t>
  </si>
  <si>
    <t>Mobileum | COGS PR - Waiting for SCM Head Approval</t>
  </si>
  <si>
    <t>list of PRs;  Submitted for SCM Head approval = T</t>
  </si>
  <si>
    <t>Not added</t>
  </si>
  <si>
    <t>https://3657373-sb1.app.netsuite.com/app/common/search/searchresults.nl?whence=%2Fapp%2Fcommon%2Fsearch%2Fsearchresults.nl%3Fsearchid%3D1444%26saverun%3DT%26scrollid%3D1444</t>
  </si>
  <si>
    <t>Mobileum | COGS PR - Department Head Approval</t>
  </si>
  <si>
    <t>list of PRs;  Submitted for SCM Head approval = T, Amount &gt;5K</t>
  </si>
  <si>
    <t>https://3657373-sb1.app.netsuite.com/app/common/search/searchresults.nl?searchid=1491&amp;saverun=T&amp;whence=</t>
  </si>
  <si>
    <t>Mobileum | COGS PR - FPA Approval</t>
  </si>
  <si>
    <t>FPA</t>
  </si>
  <si>
    <t>https://3657373-sb1.app.netsuite.com/app/common/search/searchresults.nl?searchid=1501&amp;saverun=T&amp;whence=</t>
  </si>
  <si>
    <t>Mobileum | COGS PR - Corporate Controller Approval</t>
  </si>
  <si>
    <t>https://3657373-sb1.app.netsuite.com/app/common/search/searchresults.nl?searchid=1446&amp;whence=</t>
  </si>
  <si>
    <t>Mobileum | COGS PR - CFO Approval</t>
  </si>
  <si>
    <t>https://3657373-sb1.app.netsuite.com/app/common/search/searchresults.nl?searchid=1445&amp;whence=</t>
  </si>
  <si>
    <t>Mobileum | COGS PR - COO Approval</t>
  </si>
  <si>
    <t>Mobileum | COGS PR- Rejected</t>
  </si>
  <si>
    <t>https://3657373-sb1.app.netsuite.com/app/common/search/searchresults.nl?searchid=1493&amp;saverun=T&amp;whence=</t>
  </si>
  <si>
    <t>Mobileum | Inventory PO - Submit for Approval</t>
  </si>
  <si>
    <t>Mobileum | Inventory PO - Inventory Supervisor Approval</t>
  </si>
  <si>
    <t>https://3657373-sb1.app.netsuite.com/app/common/search/searchresults.nl?searchid=1492&amp;saverun=T&amp;whence=</t>
  </si>
  <si>
    <t>Mobileum | Inventory PO - Rejected</t>
  </si>
  <si>
    <t>https://3657373-sb1.app.netsuite.com/app/common/search/searchresults.nl?searchid=1494&amp;saverun=T&amp;whence=</t>
  </si>
  <si>
    <t>Mobileum | PO to Receive</t>
  </si>
  <si>
    <t>Mobileum | PO to Bill</t>
  </si>
  <si>
    <t>Mobileum | Bills to make Payment</t>
  </si>
  <si>
    <t>FRD Reports</t>
  </si>
  <si>
    <t>CRP</t>
  </si>
  <si>
    <t>Saved Search: List of Contractor Vendors whose contract end date is 90 days to expire </t>
  </si>
  <si>
    <t>Created this as saved search, still need a report?</t>
  </si>
  <si>
    <t>https://3657373-sb1.app.netsuite.com/app/common/search/searchresults.nl?searchid=1496&amp;saverun=T&amp;whence=</t>
  </si>
  <si>
    <t>Saved Search: List of AMC Contract PRs whose contract end date is 90 days to expire </t>
  </si>
  <si>
    <t>https://3657373-sb1.app.netsuite.com/app/common/search/searchresults.nl?searchid=1495&amp;saverun=T&amp;whence=</t>
  </si>
  <si>
    <t>Report to be created to have all POs, item details, serial numbers, subscription and software support dates at a project level </t>
  </si>
  <si>
    <t>Vendor PO summary Report- At Consolidated and Entity levels </t>
  </si>
  <si>
    <r>
      <t>Vendor PO based purchases report- At Consolidated and Entity levels</t>
    </r>
    <r>
      <rPr>
        <sz val="11"/>
        <color rgb="FFC239B3"/>
        <rFont val="Aptos Display"/>
      </rPr>
      <t> </t>
    </r>
  </si>
  <si>
    <t>Vendor Transaction History – All/Selected AP transactions including payments in a given period (Categorize COGS/Non-COGS) </t>
  </si>
  <si>
    <r>
      <t>Vendor Master List</t>
    </r>
    <r>
      <rPr>
        <sz val="11"/>
        <color rgb="FF498205"/>
        <rFont val="Aptos Display"/>
      </rPr>
      <t> </t>
    </r>
  </si>
  <si>
    <r>
      <t>Credit Memo Report – outstanding and applied credits</t>
    </r>
    <r>
      <rPr>
        <sz val="11"/>
        <color rgb="FF498205"/>
        <rFont val="Aptos Display"/>
      </rPr>
      <t> </t>
    </r>
  </si>
  <si>
    <r>
      <t>AP to GL Reconciliation Report – AP subledger vs General Ledger</t>
    </r>
    <r>
      <rPr>
        <sz val="11"/>
        <color rgb="FF498205"/>
        <rFont val="Aptos Display"/>
      </rPr>
      <t> </t>
    </r>
  </si>
  <si>
    <t>Unposted AP Transactions – invoices not yet posted </t>
  </si>
  <si>
    <t>Voided payment registers </t>
  </si>
  <si>
    <t>Payment Register </t>
  </si>
  <si>
    <t>Weekly Payment proposal report </t>
  </si>
  <si>
    <t>Vendor Bank accounts report </t>
  </si>
  <si>
    <t>Global bank and cash balances summary report (Entity / Bank / Account) </t>
  </si>
  <si>
    <r>
      <t>Global bank master report</t>
    </r>
    <r>
      <rPr>
        <sz val="11"/>
        <color rgb="FFD13438"/>
        <rFont val="Aptos Display"/>
      </rPr>
      <t> </t>
    </r>
  </si>
  <si>
    <t>GR/IR Report – PO Report which shows missing invoice entry or GRN entry </t>
  </si>
  <si>
    <t>All GL items including accrual entries with Vendor Name and Service description </t>
  </si>
  <si>
    <t>Non-PO Accruals report (With Vendor Name &amp; Number) – Basis recurring expenses and Contract period </t>
  </si>
  <si>
    <t>Category-wise Vendor invoice/payment reports (e.g Legal Vendors / Tax Vendors Etc.) </t>
  </si>
  <si>
    <t>Direct debit Vendors payment report with clear status of open and cleared payment entries </t>
  </si>
  <si>
    <t>Vendor modifications report with clear audit trails and field changes (Include User details as well) </t>
  </si>
  <si>
    <t>D&amp;B Status report from Vendor Master with dates of change of status </t>
  </si>
  <si>
    <r>
      <t>Flash Cash Report</t>
    </r>
    <r>
      <rPr>
        <sz val="11"/>
        <color rgb="FF881798"/>
        <rFont val="Aptos Display"/>
      </rPr>
      <t> </t>
    </r>
  </si>
  <si>
    <t>Roles</t>
  </si>
  <si>
    <t>Added Feature</t>
  </si>
  <si>
    <t>Done</t>
  </si>
  <si>
    <t>Pending</t>
  </si>
  <si>
    <t>Published</t>
  </si>
  <si>
    <t>https://3657373-sb1.app.netsuite.com/app/center/card.nl?sc=-29&amp;whence=</t>
  </si>
  <si>
    <t>PRs Pending Review – SCM Analyst
COGS PR rules (all below):
Amount ≤ 10K
Amount 10K–50K
Amount ≥ 50K
Budget Available / Not Available
Payment Term Match / Not Match
Prepayment ≥ 5K</t>
  </si>
  <si>
    <t xml:space="preserve">PRs Pending Review – SCM Analyst
</t>
  </si>
  <si>
    <t>mount ≤ 10K
Amount 10K–50K
Amount ≥ 50K
Budget Available / Not Available
Payment Term Match / Not Match
Prepayment ≥ 5K</t>
  </si>
  <si>
    <t>My Rejected PRs (Resubmit)
Cancelled PR Report</t>
  </si>
  <si>
    <t>PR SCM Head Pending Approval
COGS PR approval-related searches</t>
  </si>
  <si>
    <t>Finance Analyst</t>
  </si>
  <si>
    <t>Vendor Expiry – 90 Days
Cancelled PO Report</t>
  </si>
  <si>
    <t>PRs Pending My Approval
High-value PRs (≥ 50K)
Budget Not Available PRs</t>
  </si>
  <si>
    <t xml:space="preserve"> </t>
  </si>
  <si>
    <t xml:space="preserve">CFO – PRs Pending My Approval
</t>
  </si>
  <si>
    <t>Rejected PO - To Resubmit
Inventory PO to Receive
3-way match related searches</t>
  </si>
  <si>
    <t>PO - Pending Inventory Supervisor Approval
Inventory PO to Bill
Inventory PO to Make Payment
Invoice approval waiting for Supervisor approval
Rejected PO reminders</t>
  </si>
  <si>
    <t>Inventory PO to Make Payment
Payment-ready PO searches</t>
  </si>
  <si>
    <t>Publish Dashboard Role</t>
  </si>
  <si>
    <t>Last published Date</t>
  </si>
  <si>
    <t>19. Puchasing Manager</t>
  </si>
  <si>
    <t>24. SCM Analyst</t>
  </si>
  <si>
    <t>CRP Testing Vendors</t>
  </si>
  <si>
    <t>Vendor Name</t>
  </si>
  <si>
    <t>Subsidiary</t>
  </si>
  <si>
    <t>Category</t>
  </si>
  <si>
    <t>CPW Druck Beschriftung</t>
  </si>
  <si>
    <t>SIGOS GmbH (Germany)</t>
  </si>
  <si>
    <t>Admin Vendor</t>
  </si>
  <si>
    <t>Germany</t>
  </si>
  <si>
    <t>Complementos Electronicos</t>
  </si>
  <si>
    <t>Professional service</t>
  </si>
  <si>
    <t>Quito Ecuador</t>
  </si>
  <si>
    <t>congatec AG</t>
  </si>
  <si>
    <t>Third party Hardware</t>
  </si>
  <si>
    <t>Conova communications GmbH</t>
  </si>
  <si>
    <t>Austria</t>
  </si>
  <si>
    <t>DHL Express Germany GmbH</t>
  </si>
  <si>
    <t>Freight/Shipment Vendor</t>
  </si>
  <si>
    <t>RyuSystems LLC</t>
  </si>
  <si>
    <t>Mobileum, Inc.</t>
  </si>
  <si>
    <t>IT related vendor</t>
  </si>
  <si>
    <t>US</t>
  </si>
  <si>
    <t>134095554 Canada Inc.</t>
  </si>
  <si>
    <t>Canada</t>
  </si>
  <si>
    <t>Acceldata Inc</t>
  </si>
  <si>
    <t>Timesol Facility Management Pvt. Ltd. MSME</t>
  </si>
  <si>
    <t>Mobileum Technologies Private Limited (India)</t>
  </si>
  <si>
    <t>Karnataka</t>
  </si>
  <si>
    <t>Vodafone Essar South Ltd</t>
  </si>
  <si>
    <t>NorthExcel Associates</t>
  </si>
  <si>
    <t>Maharastra</t>
  </si>
  <si>
    <t>Urbeno Private Limited</t>
  </si>
  <si>
    <t>Advantage Club Technologies Pvt Ltd</t>
  </si>
  <si>
    <t>Haryana</t>
  </si>
  <si>
    <t>Items</t>
  </si>
  <si>
    <t>DLG-LIC-UPG</t>
  </si>
  <si>
    <t>DLG-SS7M3A384</t>
  </si>
  <si>
    <t>DLG-SS7MTP3-M</t>
  </si>
  <si>
    <t>TELEA-STACK-S</t>
  </si>
  <si>
    <t>Budget not available</t>
  </si>
  <si>
    <t>New Vendor Creation - Onboarding Form</t>
  </si>
  <si>
    <t>Name</t>
  </si>
  <si>
    <t>Diatoz Solutions Private Limited</t>
  </si>
  <si>
    <t>Address 1</t>
  </si>
  <si>
    <t>Flat.312, 2nd block, Samhita Green Woods Apts</t>
  </si>
  <si>
    <t>Address 2</t>
  </si>
  <si>
    <t>Thubarahalli</t>
  </si>
  <si>
    <t>City</t>
  </si>
  <si>
    <t>Bangalore</t>
  </si>
  <si>
    <t>State</t>
  </si>
  <si>
    <t>India</t>
  </si>
  <si>
    <t>Terms</t>
  </si>
  <si>
    <t>Net35</t>
  </si>
  <si>
    <t>PAN</t>
  </si>
  <si>
    <t>AAACB2894G</t>
  </si>
  <si>
    <t>GST</t>
  </si>
  <si>
    <t>29AAACB2894G1ZJ</t>
  </si>
  <si>
    <t>Vendor Category</t>
  </si>
  <si>
    <t>Professional Service</t>
  </si>
  <si>
    <t>MSME Vendor</t>
  </si>
  <si>
    <t>Email ID</t>
  </si>
  <si>
    <t>finance@diatoz.com</t>
  </si>
  <si>
    <t>akshay.kumar2@diatoz.com</t>
  </si>
  <si>
    <t>Bank Number</t>
  </si>
  <si>
    <t>05721130014587</t>
  </si>
  <si>
    <t>IFSC</t>
  </si>
  <si>
    <t>HDFC0000572</t>
  </si>
  <si>
    <t>Inventory Items</t>
  </si>
  <si>
    <t>CABL001001</t>
  </si>
  <si>
    <t>Netzkabel Schuko/ Kaltgerätestecker 3x0,75</t>
  </si>
  <si>
    <t>MOB-SERVER-RAM-64GB</t>
  </si>
  <si>
    <t>CABL005002</t>
  </si>
  <si>
    <t>Koaxkabel RG58low loss; N connector, 30m</t>
  </si>
  <si>
    <t>GSMA002003</t>
  </si>
  <si>
    <t>mPCIe_pcm/i2s Adapter</t>
  </si>
  <si>
    <t>Freight Charges</t>
  </si>
  <si>
    <t xml:space="preserve">Phase -2 </t>
  </si>
  <si>
    <t xml:space="preserve">In the vendor if we are adding additional subs then, need to show the madatory files needs to be include, for that subsidiary. </t>
  </si>
  <si>
    <r>
      <rPr>
        <b/>
        <sz val="12"/>
        <color rgb="FF000000"/>
        <rFont val="Aptos"/>
      </rPr>
      <t xml:space="preserve">Sales - 
</t>
    </r>
    <r>
      <rPr>
        <sz val="12"/>
        <color rgb="FF000000"/>
        <rFont val="Aptos"/>
      </rPr>
      <t>Global Sales Management
Guavus - Sales
Presales North America
Risk Sales
Sales Africa
Sales Americas
Sales Asia
Sales CFA EE &amp; CIS
Sales Eastern Europe
Sales Latin America
Sales Middle East
Sales North America
Sales Operations
Sales Roaming
Sales Western Europe
E&amp;E Sales
Testing Regional Sales
Testing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</si>
</sst>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14"/>
      <name val="Times New Roman"/>
      <family val="1"/>
    </font>
    <font>
      <sz val="14"/>
      <color rgb="FF000000"/>
      <name val="Times New Roman"/>
      <family val="1"/>
    </font>
    <font>
      <sz val="14"/>
      <name val="Times New Roman"/>
      <family val="1"/>
    </font>
    <font>
      <sz val="14"/>
      <color theme="1"/>
      <name val="Calibri"/>
      <family val="2"/>
      <scheme val="minor"/>
    </font>
    <font>
      <b/>
      <sz val="14"/>
      <color rgb="FF000000"/>
      <name val="Times New Roman"/>
      <family val="1"/>
    </font>
    <font>
      <sz val="12"/>
      <color theme="1"/>
      <name val="Aptos"/>
    </font>
    <font>
      <b/>
      <sz val="12"/>
      <name val="Aptos"/>
    </font>
    <font>
      <b/>
      <sz val="12"/>
      <color rgb="FF000000"/>
      <name val="Aptos"/>
    </font>
    <font>
      <sz val="12"/>
      <color rgb="FF000000"/>
      <name val="Aptos"/>
    </font>
    <font>
      <b/>
      <sz val="12"/>
      <color theme="1"/>
      <name val="Aptos"/>
    </font>
    <font>
      <sz val="8"/>
      <name val="Calibri"/>
      <family val="2"/>
      <scheme val="minor"/>
    </font>
    <font>
      <u/>
      <sz val="11"/>
      <color theme="10"/>
      <name val="Calibri"/>
      <family val="2"/>
      <scheme val="minor"/>
    </font>
    <font>
      <sz val="12"/>
      <name val="Aptos"/>
    </font>
    <font>
      <sz val="11"/>
      <color rgb="FF000000"/>
      <name val="Calibri"/>
      <charset val="1"/>
    </font>
    <font>
      <sz val="11"/>
      <color theme="1"/>
      <name val="Aptos Display"/>
    </font>
    <font>
      <sz val="11"/>
      <name val="Aptos Display"/>
    </font>
    <font>
      <sz val="11"/>
      <color rgb="FFC239B3"/>
      <name val="Aptos Display"/>
    </font>
    <font>
      <sz val="11"/>
      <color rgb="FF498205"/>
      <name val="Aptos Display"/>
    </font>
    <font>
      <sz val="11"/>
      <color rgb="FF000000"/>
      <name val="Aptos Display"/>
    </font>
    <font>
      <sz val="11"/>
      <color rgb="FFD13438"/>
      <name val="Aptos Display"/>
    </font>
    <font>
      <u/>
      <sz val="11"/>
      <color rgb="FF881798"/>
      <name val="Aptos Display"/>
    </font>
    <font>
      <sz val="11"/>
      <color rgb="FF881798"/>
      <name val="Aptos Display"/>
    </font>
    <font>
      <b/>
      <sz val="11"/>
      <color theme="1"/>
      <name val="Calibri"/>
      <family val="2"/>
      <scheme val="minor"/>
    </font>
    <font>
      <b/>
      <sz val="11"/>
      <color rgb="FF000000"/>
      <name val="Aptos Narrow"/>
    </font>
    <font>
      <i/>
      <sz val="11"/>
      <color theme="1"/>
      <name val="Calibri"/>
      <family val="2"/>
      <scheme val="minor"/>
    </font>
    <font>
      <i/>
      <sz val="9"/>
      <color rgb="FF333333"/>
      <name val="Open Sans"/>
      <charset val="1"/>
    </font>
    <font>
      <sz val="10"/>
      <color rgb="FF262626"/>
      <name val="Open Sans"/>
      <charset val="1"/>
    </font>
    <font>
      <sz val="9"/>
      <color rgb="FF333333"/>
      <name val="Open Sans"/>
      <charset val="1"/>
    </font>
    <font>
      <u/>
      <sz val="11"/>
      <color theme="10"/>
      <name val="Aptos"/>
    </font>
    <font>
      <b/>
      <sz val="11"/>
      <color rgb="FF000000"/>
      <name val="Calibri"/>
      <family val="2"/>
    </font>
    <font>
      <sz val="11"/>
      <color rgb="FF000000"/>
      <name val="Calibri"/>
      <family val="2"/>
    </font>
  </fonts>
  <fills count="18">
    <fill>
      <patternFill patternType="none"/>
    </fill>
    <fill>
      <patternFill patternType="gray125"/>
    </fill>
    <fill>
      <patternFill patternType="solid">
        <fgColor theme="0" tint="-0.249977111117893"/>
        <bgColor indexed="64"/>
      </patternFill>
    </fill>
    <fill>
      <patternFill patternType="solid">
        <fgColor theme="4" tint="0.39997558519241921"/>
        <bgColor indexed="64"/>
      </patternFill>
    </fill>
    <fill>
      <patternFill patternType="solid">
        <fgColor theme="4" tint="0.39997558519241921"/>
        <bgColor rgb="FFBFBFBF"/>
      </patternFill>
    </fill>
    <fill>
      <patternFill patternType="solid">
        <fgColor theme="5"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bgColor indexed="64"/>
      </patternFill>
    </fill>
    <fill>
      <patternFill patternType="solid">
        <fgColor theme="9" tint="0.59999389629810485"/>
        <bgColor indexed="64"/>
      </patternFill>
    </fill>
    <fill>
      <patternFill patternType="solid">
        <fgColor rgb="FFFFFFFF"/>
        <bgColor rgb="FF000000"/>
      </patternFill>
    </fill>
    <fill>
      <patternFill patternType="solid">
        <fgColor rgb="FF92D050"/>
        <bgColor indexed="64"/>
      </patternFill>
    </fill>
    <fill>
      <patternFill patternType="solid">
        <fgColor rgb="FFFFFF00"/>
        <bgColor rgb="FF00000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bottom/>
      <diagonal/>
    </border>
    <border>
      <left style="thin">
        <color rgb="FF000000"/>
      </left>
      <right style="thin">
        <color rgb="FF000000"/>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289">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top" wrapText="1"/>
    </xf>
    <xf numFmtId="0" fontId="3" fillId="0" borderId="2"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4" fillId="0" borderId="0" xfId="0" applyFont="1"/>
    <xf numFmtId="0" fontId="5" fillId="4" borderId="1" xfId="0" applyFont="1" applyFill="1" applyBorder="1" applyAlignment="1">
      <alignment horizontal="left" vertical="top"/>
    </xf>
    <xf numFmtId="0" fontId="2" fillId="5" borderId="1" xfId="0" applyFont="1" applyFill="1" applyBorder="1" applyAlignment="1">
      <alignment horizontal="center" vertical="center" wrapText="1"/>
    </xf>
    <xf numFmtId="0" fontId="4" fillId="5" borderId="0" xfId="0" applyFont="1" applyFill="1"/>
    <xf numFmtId="0" fontId="4" fillId="0" borderId="0" xfId="0" applyFont="1" applyAlignment="1">
      <alignment horizontal="center" vertical="center"/>
    </xf>
    <xf numFmtId="0" fontId="4" fillId="0" borderId="0" xfId="0" applyFont="1" applyAlignment="1">
      <alignment wrapText="1"/>
    </xf>
    <xf numFmtId="0" fontId="6" fillId="0" borderId="0" xfId="0" applyFont="1"/>
    <xf numFmtId="0" fontId="6" fillId="5" borderId="0" xfId="0" applyFont="1" applyFill="1"/>
    <xf numFmtId="0" fontId="10" fillId="0" borderId="0" xfId="0" applyFont="1" applyAlignment="1">
      <alignment horizontal="center" wrapText="1"/>
    </xf>
    <xf numFmtId="0" fontId="6"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6" fillId="0" borderId="0" xfId="0" applyFont="1" applyAlignment="1">
      <alignment vertical="center" wrapText="1"/>
    </xf>
    <xf numFmtId="0" fontId="10" fillId="0" borderId="8" xfId="0" applyFont="1" applyBorder="1" applyAlignment="1">
      <alignment horizontal="center" vertical="center" wrapText="1"/>
    </xf>
    <xf numFmtId="0" fontId="6" fillId="0" borderId="8" xfId="0" applyFont="1" applyBorder="1" applyAlignment="1">
      <alignment horizontal="center" vertical="center"/>
    </xf>
    <xf numFmtId="0" fontId="10" fillId="0" borderId="0" xfId="0" applyFont="1" applyAlignment="1">
      <alignment horizontal="center"/>
    </xf>
    <xf numFmtId="0" fontId="10" fillId="0" borderId="8" xfId="0" applyFont="1" applyBorder="1" applyAlignment="1">
      <alignment horizontal="center" vertical="center"/>
    </xf>
    <xf numFmtId="0" fontId="6" fillId="0" borderId="8" xfId="0" applyFont="1" applyBorder="1" applyAlignment="1">
      <alignment horizontal="justify" vertical="center" wrapText="1"/>
    </xf>
    <xf numFmtId="0" fontId="6" fillId="0" borderId="8" xfId="0" applyFont="1" applyBorder="1" applyAlignment="1">
      <alignment vertical="center" wrapText="1"/>
    </xf>
    <xf numFmtId="0" fontId="6" fillId="0" borderId="8" xfId="0" applyFont="1" applyBorder="1"/>
    <xf numFmtId="0" fontId="6" fillId="0" borderId="8" xfId="0" applyFont="1" applyBorder="1" applyAlignment="1">
      <alignment horizontal="left" vertical="center" wrapText="1"/>
    </xf>
    <xf numFmtId="0" fontId="8" fillId="0" borderId="8" xfId="0" applyFont="1" applyBorder="1" applyAlignment="1">
      <alignment horizontal="center" vertical="center" wrapText="1"/>
    </xf>
    <xf numFmtId="0" fontId="9" fillId="0" borderId="8" xfId="0" applyFont="1" applyBorder="1" applyAlignment="1">
      <alignment vertical="center" wrapText="1"/>
    </xf>
    <xf numFmtId="0" fontId="10" fillId="8" borderId="8" xfId="0" applyFont="1" applyFill="1" applyBorder="1" applyAlignment="1">
      <alignment horizontal="center" vertical="center" wrapText="1"/>
    </xf>
    <xf numFmtId="0" fontId="9" fillId="0" borderId="8" xfId="0" applyFont="1" applyBorder="1" applyAlignment="1">
      <alignment horizontal="justify" vertical="center" wrapText="1"/>
    </xf>
    <xf numFmtId="0" fontId="9" fillId="0" borderId="8" xfId="0" applyFont="1" applyBorder="1" applyAlignment="1">
      <alignment horizontal="left" vertical="center" wrapText="1"/>
    </xf>
    <xf numFmtId="0" fontId="6" fillId="0" borderId="8" xfId="0" applyFont="1" applyBorder="1" applyAlignment="1">
      <alignment horizontal="left" vertical="top" wrapText="1"/>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7" fillId="3" borderId="8" xfId="0" applyFont="1" applyFill="1" applyBorder="1" applyAlignment="1">
      <alignment horizontal="center" vertical="center"/>
    </xf>
    <xf numFmtId="0" fontId="7" fillId="3" borderId="8" xfId="0" applyFont="1" applyFill="1" applyBorder="1" applyAlignment="1">
      <alignment horizontal="center" vertical="center" wrapText="1"/>
    </xf>
    <xf numFmtId="0" fontId="8" fillId="4" borderId="8" xfId="0" applyFont="1" applyFill="1" applyBorder="1" applyAlignment="1">
      <alignment horizontal="center" vertical="center"/>
    </xf>
    <xf numFmtId="0" fontId="6" fillId="0" borderId="8" xfId="0" applyFont="1" applyBorder="1" applyAlignment="1">
      <alignment horizontal="center"/>
    </xf>
    <xf numFmtId="0" fontId="0" fillId="0" borderId="0" xfId="0" pivotButton="1"/>
    <xf numFmtId="0" fontId="12" fillId="0" borderId="0" xfId="1" applyFill="1"/>
    <xf numFmtId="0" fontId="6" fillId="0" borderId="12" xfId="0" applyFont="1" applyBorder="1" applyAlignment="1">
      <alignment horizontal="center" vertical="center"/>
    </xf>
    <xf numFmtId="0" fontId="6" fillId="0" borderId="8" xfId="0" applyFont="1" applyBorder="1" applyAlignment="1">
      <alignment wrapText="1"/>
    </xf>
    <xf numFmtId="0" fontId="12" fillId="0" borderId="0" xfId="1"/>
    <xf numFmtId="0" fontId="0" fillId="0" borderId="0" xfId="0" applyAlignment="1">
      <alignment wrapText="1"/>
    </xf>
    <xf numFmtId="0" fontId="6" fillId="0" borderId="9" xfId="0" applyFont="1" applyBorder="1" applyAlignment="1">
      <alignment horizontal="center" vertical="center" wrapText="1"/>
    </xf>
    <xf numFmtId="0" fontId="8" fillId="8" borderId="8" xfId="0" applyFont="1" applyFill="1" applyBorder="1" applyAlignment="1">
      <alignment horizontal="center" vertical="center" wrapText="1"/>
    </xf>
    <xf numFmtId="0" fontId="10" fillId="8" borderId="8" xfId="0" applyFont="1" applyFill="1" applyBorder="1" applyAlignment="1">
      <alignment horizontal="center" vertical="center"/>
    </xf>
    <xf numFmtId="0" fontId="6" fillId="0" borderId="16" xfId="0" applyFont="1" applyBorder="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7" fillId="0" borderId="8" xfId="0" applyFont="1" applyBorder="1" applyAlignment="1">
      <alignment horizontal="center" vertical="center" wrapText="1"/>
    </xf>
    <xf numFmtId="0" fontId="6" fillId="0" borderId="8" xfId="0" applyFont="1" applyBorder="1" applyAlignment="1">
      <alignment vertical="center"/>
    </xf>
    <xf numFmtId="0" fontId="6" fillId="0" borderId="8" xfId="0" applyFont="1" applyBorder="1" applyAlignment="1">
      <alignment horizontal="justify" vertical="center"/>
    </xf>
    <xf numFmtId="0" fontId="0" fillId="9" borderId="0" xfId="0" applyFill="1"/>
    <xf numFmtId="0" fontId="0" fillId="10" borderId="0" xfId="0" applyFill="1" applyAlignment="1">
      <alignment wrapText="1"/>
    </xf>
    <xf numFmtId="0" fontId="0" fillId="10" borderId="0" xfId="0" applyFill="1"/>
    <xf numFmtId="0" fontId="0" fillId="11" borderId="0" xfId="0" applyFill="1" applyAlignment="1">
      <alignment wrapText="1"/>
    </xf>
    <xf numFmtId="0" fontId="14" fillId="0" borderId="0" xfId="0" applyFont="1"/>
    <xf numFmtId="0" fontId="6" fillId="6" borderId="0" xfId="0" applyFont="1" applyFill="1"/>
    <xf numFmtId="0" fontId="0" fillId="0" borderId="0" xfId="0" applyAlignment="1">
      <alignment horizontal="left" vertical="center"/>
    </xf>
    <xf numFmtId="0" fontId="0" fillId="0" borderId="0" xfId="0" applyAlignment="1">
      <alignment horizontal="left" vertical="center" wrapText="1"/>
    </xf>
    <xf numFmtId="0" fontId="0" fillId="13" borderId="0" xfId="0" applyFill="1" applyAlignment="1">
      <alignment horizontal="left" vertical="center"/>
    </xf>
    <xf numFmtId="0" fontId="12" fillId="0" borderId="0" xfId="1" applyAlignment="1">
      <alignment horizontal="left" vertical="center" wrapText="1"/>
    </xf>
    <xf numFmtId="0" fontId="15" fillId="0" borderId="0" xfId="0" applyFont="1" applyAlignment="1">
      <alignment wrapText="1"/>
    </xf>
    <xf numFmtId="0" fontId="16" fillId="0" borderId="0" xfId="0" applyFont="1" applyAlignment="1">
      <alignment wrapText="1"/>
    </xf>
    <xf numFmtId="0" fontId="19" fillId="0" borderId="0" xfId="0" applyFont="1" applyAlignment="1">
      <alignment wrapText="1"/>
    </xf>
    <xf numFmtId="0" fontId="21" fillId="0" borderId="0" xfId="0" applyFont="1" applyAlignment="1">
      <alignment wrapText="1"/>
    </xf>
    <xf numFmtId="0" fontId="23" fillId="0" borderId="0" xfId="0" applyFont="1" applyAlignment="1">
      <alignment wrapText="1"/>
    </xf>
    <xf numFmtId="0" fontId="23" fillId="0" borderId="0" xfId="0" applyFont="1"/>
    <xf numFmtId="0" fontId="23" fillId="0" borderId="0" xfId="0" applyFont="1" applyAlignment="1">
      <alignment horizontal="center" vertical="center"/>
    </xf>
    <xf numFmtId="0" fontId="23" fillId="0" borderId="0" xfId="0" applyFont="1" applyAlignment="1">
      <alignment horizontal="center" vertical="center" wrapText="1"/>
    </xf>
    <xf numFmtId="0" fontId="0" fillId="12" borderId="0" xfId="0" applyFill="1"/>
    <xf numFmtId="0" fontId="6" fillId="14" borderId="0" xfId="0" applyFont="1" applyFill="1"/>
    <xf numFmtId="14" fontId="0" fillId="0" borderId="0" xfId="0" applyNumberFormat="1"/>
    <xf numFmtId="0" fontId="13" fillId="0" borderId="15" xfId="0" applyFont="1" applyBorder="1" applyAlignment="1">
      <alignment horizontal="left" vertical="center" wrapText="1"/>
    </xf>
    <xf numFmtId="0" fontId="13" fillId="0" borderId="8" xfId="0" applyFont="1" applyBorder="1" applyAlignment="1">
      <alignment horizontal="left" vertical="center" wrapText="1"/>
    </xf>
    <xf numFmtId="0" fontId="6" fillId="0" borderId="9" xfId="0" applyFont="1" applyBorder="1" applyAlignment="1">
      <alignment horizontal="justify" vertical="center" wrapText="1"/>
    </xf>
    <xf numFmtId="0" fontId="6" fillId="0" borderId="9" xfId="0" applyFont="1" applyBorder="1" applyAlignment="1">
      <alignment vertical="center" wrapText="1"/>
    </xf>
    <xf numFmtId="0" fontId="7" fillId="5" borderId="18" xfId="0" applyFont="1" applyFill="1" applyBorder="1" applyAlignment="1">
      <alignment vertical="center" wrapText="1"/>
    </xf>
    <xf numFmtId="0" fontId="0" fillId="0" borderId="0" xfId="0" applyAlignment="1">
      <alignment horizontal="center"/>
    </xf>
    <xf numFmtId="0" fontId="24" fillId="0" borderId="1" xfId="0" applyFont="1" applyBorder="1" applyAlignment="1">
      <alignment horizontal="center" vertical="center"/>
    </xf>
    <xf numFmtId="0" fontId="24" fillId="0" borderId="4" xfId="0" applyFont="1" applyBorder="1" applyAlignment="1">
      <alignment horizontal="center" vertical="center"/>
    </xf>
    <xf numFmtId="0" fontId="0" fillId="0" borderId="0" xfId="0" applyAlignment="1">
      <alignment horizontal="center" vertical="center"/>
    </xf>
    <xf numFmtId="0" fontId="8" fillId="15" borderId="10" xfId="0" applyFont="1" applyFill="1" applyBorder="1" applyAlignment="1">
      <alignment horizontal="center" wrapText="1"/>
    </xf>
    <xf numFmtId="0" fontId="8" fillId="15" borderId="11" xfId="0" applyFont="1" applyFill="1" applyBorder="1" applyAlignment="1">
      <alignment horizontal="center" wrapText="1"/>
    </xf>
    <xf numFmtId="0" fontId="0" fillId="0" borderId="8" xfId="0" applyBorder="1"/>
    <xf numFmtId="0" fontId="6" fillId="0" borderId="16" xfId="0" applyFont="1" applyBorder="1" applyAlignment="1">
      <alignment horizontal="justify" vertical="center" wrapText="1"/>
    </xf>
    <xf numFmtId="0" fontId="23" fillId="0" borderId="0" xfId="0" applyFont="1" applyAlignment="1">
      <alignment horizontal="center"/>
    </xf>
    <xf numFmtId="0" fontId="25" fillId="0" borderId="0" xfId="0" applyFont="1"/>
    <xf numFmtId="0" fontId="26" fillId="0" borderId="0" xfId="0" applyFont="1"/>
    <xf numFmtId="0" fontId="6" fillId="0" borderId="11" xfId="0" applyFont="1" applyBorder="1" applyAlignment="1">
      <alignment horizontal="justify" vertical="center" wrapText="1"/>
    </xf>
    <xf numFmtId="0" fontId="6" fillId="0" borderId="11" xfId="0" applyFont="1" applyBorder="1" applyAlignment="1">
      <alignment vertical="center" wrapText="1"/>
    </xf>
    <xf numFmtId="0" fontId="6" fillId="0" borderId="15" xfId="0" applyFont="1" applyBorder="1" applyAlignment="1">
      <alignment horizontal="center" vertical="center"/>
    </xf>
    <xf numFmtId="0" fontId="6" fillId="0" borderId="17" xfId="0" applyFont="1" applyBorder="1" applyAlignment="1">
      <alignment horizontal="justify" vertical="center" wrapText="1"/>
    </xf>
    <xf numFmtId="0" fontId="6" fillId="0" borderId="11" xfId="0" applyFont="1" applyBorder="1" applyAlignment="1">
      <alignment horizontal="center" vertical="center" wrapText="1"/>
    </xf>
    <xf numFmtId="0" fontId="7" fillId="0" borderId="9" xfId="0" applyFont="1" applyBorder="1" applyAlignment="1">
      <alignment horizontal="center" vertical="center" wrapText="1"/>
    </xf>
    <xf numFmtId="0" fontId="26" fillId="16" borderId="0" xfId="0" applyFont="1" applyFill="1"/>
    <xf numFmtId="0" fontId="7" fillId="0" borderId="15" xfId="0" applyFont="1" applyBorder="1" applyAlignment="1">
      <alignment horizontal="center" vertical="center" wrapText="1"/>
    </xf>
    <xf numFmtId="0" fontId="6" fillId="0" borderId="8" xfId="0" applyFont="1" applyBorder="1" applyAlignment="1">
      <alignment horizontal="left" vertical="center"/>
    </xf>
    <xf numFmtId="0" fontId="7" fillId="0" borderId="11" xfId="0" applyFont="1" applyBorder="1" applyAlignment="1">
      <alignment horizontal="center" vertical="center" wrapText="1"/>
    </xf>
    <xf numFmtId="49" fontId="0" fillId="0" borderId="0" xfId="0" applyNumberFormat="1"/>
    <xf numFmtId="0" fontId="23" fillId="0" borderId="0" xfId="0" applyFont="1" applyAlignment="1">
      <alignment horizontal="right"/>
    </xf>
    <xf numFmtId="0" fontId="0" fillId="0" borderId="0" xfId="0" applyAlignment="1">
      <alignment horizontal="left"/>
    </xf>
    <xf numFmtId="0" fontId="6" fillId="0" borderId="15" xfId="0" applyFont="1" applyBorder="1" applyAlignment="1">
      <alignment horizontal="left" vertical="center" wrapText="1"/>
    </xf>
    <xf numFmtId="0" fontId="8" fillId="4" borderId="13" xfId="0" applyFont="1" applyFill="1" applyBorder="1" applyAlignment="1">
      <alignment horizontal="center" vertical="center" wrapText="1"/>
    </xf>
    <xf numFmtId="0" fontId="9" fillId="0" borderId="10" xfId="0" applyFont="1" applyBorder="1" applyAlignment="1">
      <alignment wrapText="1"/>
    </xf>
    <xf numFmtId="0" fontId="9" fillId="0" borderId="11" xfId="0" applyFont="1" applyBorder="1" applyAlignment="1">
      <alignment wrapText="1"/>
    </xf>
    <xf numFmtId="0" fontId="0" fillId="0" borderId="8" xfId="0" applyBorder="1" applyAlignment="1">
      <alignment wrapText="1"/>
    </xf>
    <xf numFmtId="0" fontId="23" fillId="10" borderId="8" xfId="0" applyFont="1" applyFill="1" applyBorder="1" applyAlignment="1">
      <alignment horizontal="center" vertical="center"/>
    </xf>
    <xf numFmtId="0" fontId="23" fillId="10" borderId="8" xfId="0" applyFont="1" applyFill="1" applyBorder="1" applyAlignment="1">
      <alignment horizontal="center" vertical="center" wrapText="1"/>
    </xf>
    <xf numFmtId="0" fontId="0" fillId="0" borderId="9" xfId="0" applyBorder="1"/>
    <xf numFmtId="0" fontId="0" fillId="0" borderId="9" xfId="0" applyBorder="1" applyAlignment="1">
      <alignment wrapText="1"/>
    </xf>
    <xf numFmtId="0" fontId="0" fillId="0" borderId="8" xfId="0" applyBorder="1" applyAlignment="1">
      <alignment horizontal="center" vertical="center"/>
    </xf>
    <xf numFmtId="0" fontId="0" fillId="0" borderId="9" xfId="0" applyBorder="1" applyAlignment="1">
      <alignment horizontal="center" vertical="center"/>
    </xf>
    <xf numFmtId="0" fontId="27" fillId="0" borderId="0" xfId="0" applyFont="1"/>
    <xf numFmtId="0" fontId="12" fillId="0" borderId="8" xfId="1" applyBorder="1"/>
    <xf numFmtId="0" fontId="28" fillId="0" borderId="0" xfId="0" applyFont="1"/>
    <xf numFmtId="0" fontId="28" fillId="16" borderId="0" xfId="0" applyFont="1" applyFill="1"/>
    <xf numFmtId="0" fontId="28" fillId="8" borderId="0" xfId="0" applyFont="1" applyFill="1"/>
    <xf numFmtId="0" fontId="25" fillId="8" borderId="0" xfId="0" applyFont="1" applyFill="1"/>
    <xf numFmtId="0" fontId="26" fillId="8" borderId="0" xfId="0" applyFont="1" applyFill="1"/>
    <xf numFmtId="0" fontId="12" fillId="0" borderId="8" xfId="1" applyBorder="1" applyAlignment="1">
      <alignment wrapText="1"/>
    </xf>
    <xf numFmtId="0" fontId="6" fillId="0" borderId="9" xfId="0" applyFont="1" applyBorder="1" applyAlignment="1">
      <alignment vertical="center"/>
    </xf>
    <xf numFmtId="0" fontId="6" fillId="0" borderId="12" xfId="0" applyFont="1" applyBorder="1" applyAlignment="1">
      <alignment vertical="center"/>
    </xf>
    <xf numFmtId="0" fontId="6" fillId="0" borderId="16" xfId="0" applyFont="1" applyBorder="1" applyAlignment="1">
      <alignment vertical="center"/>
    </xf>
    <xf numFmtId="0" fontId="6" fillId="0" borderId="11" xfId="0" applyFont="1" applyBorder="1" applyAlignment="1">
      <alignment vertical="center"/>
    </xf>
    <xf numFmtId="0" fontId="0" fillId="0" borderId="16" xfId="0" applyBorder="1"/>
    <xf numFmtId="0" fontId="0" fillId="0" borderId="11" xfId="0" applyBorder="1" applyAlignment="1">
      <alignment horizontal="center" vertical="center"/>
    </xf>
    <xf numFmtId="0" fontId="0" fillId="0" borderId="8" xfId="0" applyBorder="1" applyAlignment="1">
      <alignment vertical="center" wrapText="1"/>
    </xf>
    <xf numFmtId="0" fontId="0" fillId="0" borderId="9" xfId="0" applyBorder="1" applyAlignment="1">
      <alignment vertical="center" wrapText="1"/>
    </xf>
    <xf numFmtId="0" fontId="0" fillId="0" borderId="0" xfId="0" applyAlignment="1">
      <alignment vertical="center" wrapText="1"/>
    </xf>
    <xf numFmtId="0" fontId="0" fillId="0" borderId="8" xfId="0" applyBorder="1" applyAlignment="1">
      <alignment vertical="center"/>
    </xf>
    <xf numFmtId="0" fontId="0" fillId="0" borderId="9" xfId="0" applyBorder="1" applyAlignment="1">
      <alignment vertical="center"/>
    </xf>
    <xf numFmtId="0" fontId="0" fillId="0" borderId="0" xfId="0" applyAlignment="1">
      <alignment vertical="center"/>
    </xf>
    <xf numFmtId="0" fontId="0" fillId="0" borderId="12" xfId="0" applyBorder="1" applyAlignment="1">
      <alignment horizontal="center" vertical="center"/>
    </xf>
    <xf numFmtId="0" fontId="0" fillId="0" borderId="11" xfId="0" applyBorder="1" applyAlignment="1">
      <alignment vertical="center"/>
    </xf>
    <xf numFmtId="14" fontId="0" fillId="0" borderId="8" xfId="0" applyNumberFormat="1" applyBorder="1" applyAlignment="1">
      <alignment horizontal="center" vertical="center"/>
    </xf>
    <xf numFmtId="14" fontId="0" fillId="0" borderId="9" xfId="0" applyNumberFormat="1" applyBorder="1" applyAlignment="1">
      <alignment horizontal="center" vertical="center"/>
    </xf>
    <xf numFmtId="14" fontId="0" fillId="0" borderId="11" xfId="0" applyNumberFormat="1" applyBorder="1" applyAlignment="1">
      <alignment horizontal="center" vertical="center"/>
    </xf>
    <xf numFmtId="14" fontId="0" fillId="0" borderId="0" xfId="0" applyNumberFormat="1" applyAlignment="1">
      <alignment horizontal="center" vertical="center"/>
    </xf>
    <xf numFmtId="0" fontId="0" fillId="0" borderId="8" xfId="0" applyBorder="1" applyAlignment="1">
      <alignment horizontal="center" wrapText="1"/>
    </xf>
    <xf numFmtId="0" fontId="0" fillId="0" borderId="9" xfId="0" applyBorder="1" applyAlignment="1">
      <alignment horizontal="center" wrapText="1"/>
    </xf>
    <xf numFmtId="0" fontId="0" fillId="0" borderId="11" xfId="0" applyBorder="1" applyAlignment="1">
      <alignment horizontal="center" wrapText="1"/>
    </xf>
    <xf numFmtId="0" fontId="0" fillId="0" borderId="0" xfId="0" applyAlignment="1">
      <alignment horizontal="center" wrapText="1"/>
    </xf>
    <xf numFmtId="0" fontId="9" fillId="0" borderId="8" xfId="0" applyFont="1" applyBorder="1" applyAlignment="1">
      <alignment horizontal="center" vertical="center" wrapText="1"/>
    </xf>
    <xf numFmtId="0" fontId="10" fillId="8" borderId="9"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29" fillId="0" borderId="8" xfId="1" applyFont="1" applyBorder="1" applyAlignment="1">
      <alignment horizontal="center" vertical="center" wrapText="1"/>
    </xf>
    <xf numFmtId="0" fontId="10" fillId="0" borderId="0" xfId="0" applyFont="1"/>
    <xf numFmtId="0" fontId="8" fillId="15" borderId="8" xfId="0" applyFont="1" applyFill="1" applyBorder="1" applyAlignment="1">
      <alignment horizontal="center" vertical="center" wrapText="1"/>
    </xf>
    <xf numFmtId="0" fontId="8" fillId="0" borderId="8" xfId="0" applyFont="1" applyBorder="1" applyAlignment="1">
      <alignment horizontal="left" vertical="center" wrapText="1"/>
    </xf>
    <xf numFmtId="0" fontId="8" fillId="0" borderId="8" xfId="0" applyFont="1" applyBorder="1" applyAlignment="1">
      <alignment horizontal="left" vertical="center"/>
    </xf>
    <xf numFmtId="0" fontId="8" fillId="15" borderId="1" xfId="0" applyFont="1" applyFill="1" applyBorder="1" applyAlignment="1">
      <alignment horizontal="center" vertical="center" wrapText="1"/>
    </xf>
    <xf numFmtId="0" fontId="8" fillId="0" borderId="1" xfId="0" applyFont="1" applyBorder="1" applyAlignment="1">
      <alignment horizontal="left" vertical="center"/>
    </xf>
    <xf numFmtId="0" fontId="29" fillId="0" borderId="0" xfId="1" applyFont="1" applyFill="1" applyAlignment="1">
      <alignment wrapText="1"/>
    </xf>
    <xf numFmtId="0" fontId="9" fillId="0" borderId="0" xfId="0" applyFont="1" applyAlignment="1">
      <alignment wrapText="1"/>
    </xf>
    <xf numFmtId="0" fontId="29" fillId="0" borderId="8" xfId="1" applyFont="1" applyBorder="1" applyAlignment="1">
      <alignment vertical="center" wrapText="1"/>
    </xf>
    <xf numFmtId="0" fontId="29" fillId="0" borderId="0" xfId="1" applyFont="1" applyFill="1"/>
    <xf numFmtId="0" fontId="29" fillId="0" borderId="9" xfId="1" applyFont="1" applyBorder="1" applyAlignment="1">
      <alignment vertical="center" wrapText="1"/>
    </xf>
    <xf numFmtId="0" fontId="29" fillId="0" borderId="11" xfId="1" applyFont="1" applyBorder="1" applyAlignment="1">
      <alignment vertical="center" wrapText="1"/>
    </xf>
    <xf numFmtId="0" fontId="9" fillId="0" borderId="0" xfId="0" applyFont="1" applyAlignment="1">
      <alignment horizontal="center"/>
    </xf>
    <xf numFmtId="0" fontId="8" fillId="15" borderId="12" xfId="0" applyFont="1" applyFill="1" applyBorder="1" applyAlignment="1">
      <alignment horizontal="center" vertical="center" wrapText="1"/>
    </xf>
    <xf numFmtId="0" fontId="7" fillId="0" borderId="8" xfId="0" applyFont="1" applyBorder="1" applyAlignment="1">
      <alignment horizontal="center" vertical="center"/>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1" xfId="0" applyFont="1" applyBorder="1" applyAlignment="1">
      <alignment horizontal="center" vertical="center" wrapText="1"/>
    </xf>
    <xf numFmtId="0" fontId="6" fillId="0" borderId="0" xfId="0" applyFont="1" applyAlignment="1">
      <alignment horizontal="center"/>
    </xf>
    <xf numFmtId="0" fontId="9" fillId="0" borderId="8" xfId="0" applyFont="1" applyBorder="1" applyAlignment="1">
      <alignment horizontal="center" vertical="center"/>
    </xf>
    <xf numFmtId="0" fontId="9" fillId="0" borderId="1" xfId="0" applyFont="1" applyBorder="1" applyAlignment="1">
      <alignment horizontal="center" vertical="center"/>
    </xf>
    <xf numFmtId="0" fontId="6" fillId="8" borderId="8" xfId="0" applyFont="1" applyFill="1"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19" xfId="0" applyBorder="1" applyAlignment="1">
      <alignment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9" fillId="0" borderId="1" xfId="0" applyFont="1" applyBorder="1" applyAlignment="1">
      <alignment wrapText="1"/>
    </xf>
    <xf numFmtId="0" fontId="9" fillId="0" borderId="4" xfId="0" applyFont="1" applyBorder="1" applyAlignment="1">
      <alignment wrapText="1"/>
    </xf>
    <xf numFmtId="0" fontId="9" fillId="0" borderId="31" xfId="0" applyFont="1" applyBorder="1" applyAlignment="1">
      <alignment wrapText="1"/>
    </xf>
    <xf numFmtId="0" fontId="9" fillId="0" borderId="7" xfId="0" applyFont="1" applyBorder="1" applyAlignment="1">
      <alignment wrapText="1"/>
    </xf>
    <xf numFmtId="0" fontId="12" fillId="0" borderId="8" xfId="1" applyBorder="1" applyAlignment="1">
      <alignment vertical="center" wrapText="1"/>
    </xf>
    <xf numFmtId="0" fontId="12" fillId="0" borderId="9" xfId="1" applyBorder="1" applyAlignment="1">
      <alignment vertical="center" wrapText="1"/>
    </xf>
    <xf numFmtId="0" fontId="30" fillId="17" borderId="1" xfId="0" applyFont="1" applyFill="1" applyBorder="1" applyAlignment="1">
      <alignment horizontal="center" vertical="center"/>
    </xf>
    <xf numFmtId="0" fontId="30" fillId="17" borderId="4" xfId="0" applyFont="1" applyFill="1" applyBorder="1" applyAlignment="1">
      <alignment horizontal="center" vertical="center"/>
    </xf>
    <xf numFmtId="0" fontId="31" fillId="0" borderId="7" xfId="0" applyFont="1" applyBorder="1" applyAlignment="1">
      <alignment horizontal="center" vertical="center"/>
    </xf>
    <xf numFmtId="0" fontId="31" fillId="0" borderId="7"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7"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7" fillId="6" borderId="12"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8" fillId="0" borderId="8" xfId="0" applyFont="1" applyBorder="1" applyAlignment="1">
      <alignment horizontal="center" vertical="center" wrapText="1"/>
    </xf>
    <xf numFmtId="0" fontId="10" fillId="0" borderId="8" xfId="0" applyFont="1" applyBorder="1" applyAlignment="1">
      <alignment horizontal="center" vertical="center" wrapText="1"/>
    </xf>
    <xf numFmtId="0" fontId="7" fillId="0" borderId="16" xfId="0" applyFont="1" applyBorder="1" applyAlignment="1">
      <alignment horizontal="center" vertical="center" wrapText="1"/>
    </xf>
    <xf numFmtId="0" fontId="7" fillId="5" borderId="12"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20" xfId="0" applyFont="1" applyFill="1" applyBorder="1" applyAlignment="1">
      <alignment horizontal="center" vertical="center" wrapText="1"/>
    </xf>
    <xf numFmtId="0" fontId="7" fillId="0" borderId="17"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7" fillId="6" borderId="14"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7" fillId="0" borderId="19"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6" fillId="0" borderId="8" xfId="0" applyFont="1" applyBorder="1" applyAlignment="1">
      <alignment horizontal="center" vertical="center" wrapText="1"/>
    </xf>
    <xf numFmtId="0" fontId="10" fillId="8"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15" borderId="26" xfId="0" applyFont="1" applyFill="1" applyBorder="1" applyAlignment="1">
      <alignment horizontal="center" vertical="center" wrapText="1"/>
    </xf>
    <xf numFmtId="0" fontId="8" fillId="15" borderId="27" xfId="0" applyFont="1" applyFill="1" applyBorder="1" applyAlignment="1">
      <alignment horizontal="center" vertical="center" wrapText="1"/>
    </xf>
    <xf numFmtId="0" fontId="8" fillId="15" borderId="28"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8" borderId="19" xfId="0" applyFont="1" applyFill="1" applyBorder="1" applyAlignment="1">
      <alignment horizontal="center" vertical="center" wrapText="1"/>
    </xf>
    <xf numFmtId="0" fontId="7" fillId="6" borderId="0" xfId="0" applyFont="1" applyFill="1" applyAlignment="1">
      <alignment horizontal="center" vertical="center" wrapText="1"/>
    </xf>
    <xf numFmtId="0" fontId="7" fillId="0" borderId="21" xfId="0" applyFont="1" applyBorder="1" applyAlignment="1">
      <alignment horizontal="center" vertical="center" wrapText="1"/>
    </xf>
    <xf numFmtId="0" fontId="7" fillId="6" borderId="11"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6" fillId="0" borderId="14"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6" fillId="8" borderId="9"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10" fillId="0" borderId="17"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9" xfId="0" applyFont="1" applyBorder="1" applyAlignment="1">
      <alignment horizontal="center" vertical="center" wrapText="1"/>
    </xf>
    <xf numFmtId="0" fontId="10" fillId="8" borderId="9" xfId="0" applyFont="1" applyFill="1" applyBorder="1" applyAlignment="1">
      <alignment horizontal="center" vertical="center"/>
    </xf>
    <xf numFmtId="0" fontId="10" fillId="8" borderId="10" xfId="0" applyFont="1" applyFill="1" applyBorder="1" applyAlignment="1">
      <alignment horizontal="center" vertical="center"/>
    </xf>
    <xf numFmtId="0" fontId="10" fillId="8" borderId="11" xfId="0" applyFont="1" applyFill="1" applyBorder="1" applyAlignment="1">
      <alignment horizontal="center" vertical="center"/>
    </xf>
    <xf numFmtId="0" fontId="10" fillId="8" borderId="8" xfId="0" applyFont="1" applyFill="1" applyBorder="1" applyAlignment="1">
      <alignment horizontal="center" vertical="center"/>
    </xf>
    <xf numFmtId="0" fontId="7" fillId="5" borderId="20" xfId="0" applyFont="1" applyFill="1" applyBorder="1" applyAlignment="1">
      <alignment horizontal="center" vertical="center" wrapText="1"/>
    </xf>
    <xf numFmtId="0" fontId="7" fillId="5" borderId="0" xfId="0" applyFont="1" applyFill="1" applyAlignment="1">
      <alignment horizontal="center"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7" fillId="5" borderId="14"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10" fillId="8" borderId="8" xfId="0" applyFont="1" applyFill="1" applyBorder="1" applyAlignment="1">
      <alignment horizontal="left" vertical="center" wrapText="1"/>
    </xf>
    <xf numFmtId="0" fontId="7" fillId="7" borderId="12" xfId="0" applyFont="1" applyFill="1" applyBorder="1" applyAlignment="1">
      <alignment horizontal="center" vertical="center" wrapText="1"/>
    </xf>
    <xf numFmtId="0" fontId="7" fillId="7" borderId="15" xfId="0" applyFont="1" applyFill="1" applyBorder="1" applyAlignment="1">
      <alignment horizontal="center" vertical="center" wrapText="1"/>
    </xf>
    <xf numFmtId="0" fontId="7"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1" xfId="0" applyFont="1" applyBorder="1" applyAlignment="1">
      <alignment horizontal="center" vertical="center" wrapText="1"/>
    </xf>
    <xf numFmtId="0" fontId="7" fillId="0" borderId="15" xfId="0" applyFont="1" applyBorder="1" applyAlignment="1">
      <alignment horizontal="center" vertical="center" wrapText="1"/>
    </xf>
    <xf numFmtId="0" fontId="10" fillId="0" borderId="29" xfId="0" applyFont="1" applyBorder="1" applyAlignment="1">
      <alignment horizontal="center" vertical="center" wrapText="1"/>
    </xf>
    <xf numFmtId="0" fontId="8" fillId="15" borderId="30" xfId="0" applyFont="1" applyFill="1" applyBorder="1" applyAlignment="1">
      <alignment horizontal="center" vertical="center" wrapText="1"/>
    </xf>
    <xf numFmtId="0" fontId="31" fillId="0" borderId="27" xfId="0" applyFont="1" applyBorder="1" applyAlignment="1">
      <alignment horizontal="center" vertical="center"/>
    </xf>
    <xf numFmtId="0" fontId="31" fillId="0" borderId="31" xfId="0" applyFont="1" applyBorder="1" applyAlignment="1">
      <alignment horizontal="center" vertical="center"/>
    </xf>
    <xf numFmtId="0" fontId="9" fillId="0" borderId="10" xfId="0" applyFont="1" applyBorder="1" applyAlignment="1">
      <alignment wrapText="1"/>
    </xf>
    <xf numFmtId="0" fontId="9" fillId="0" borderId="11" xfId="0" applyFont="1" applyBorder="1" applyAlignment="1">
      <alignment wrapText="1"/>
    </xf>
    <xf numFmtId="0" fontId="12" fillId="0" borderId="10" xfId="1" applyBorder="1" applyAlignment="1">
      <alignment wrapText="1"/>
    </xf>
    <xf numFmtId="0" fontId="12" fillId="0" borderId="11" xfId="1" applyBorder="1" applyAlignment="1">
      <alignment wrapText="1"/>
    </xf>
    <xf numFmtId="0" fontId="9" fillId="0" borderId="22"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cellXfs>
  <cellStyles count="2">
    <cellStyle name="Hyperlink" xfId="1" builtinId="8"/>
    <cellStyle name="Normal" xfId="0" builtinId="0"/>
  </cellStyles>
  <dxfs count="115">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theme="1"/>
      </font>
      <fill>
        <patternFill patternType="solid">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7" tint="-0.499984740745262"/>
      </font>
      <fill>
        <patternFill patternType="solid">
          <bgColor rgb="FF00B0F0"/>
        </patternFill>
      </fill>
    </dxf>
    <dxf>
      <font>
        <color rgb="FF9C0006"/>
      </font>
      <fill>
        <patternFill patternType="solid">
          <bgColor theme="9" tint="0.79998168889431442"/>
        </patternFill>
      </fill>
    </dxf>
    <dxf>
      <font>
        <color rgb="FF9C0006"/>
      </font>
      <fill>
        <patternFill patternType="solid">
          <bgColor rgb="FFFFC000"/>
        </patternFill>
      </fill>
    </dxf>
    <dxf>
      <font>
        <color theme="0"/>
      </font>
      <fill>
        <patternFill patternType="solid">
          <bgColor rgb="FFA862D1"/>
        </patternFill>
      </fill>
    </dxf>
    <dxf>
      <font>
        <color theme="1"/>
      </font>
      <fill>
        <patternFill patternType="solid">
          <bgColor theme="4" tint="0.39997558519241921"/>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s>
  <tableStyles count="0" defaultTableStyle="TableStyleMedium2" defaultPivotStyle="PivotStyleLight16"/>
  <colors>
    <mruColors>
      <color rgb="FFA86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66675</xdr:rowOff>
    </xdr:from>
    <xdr:to>
      <xdr:col>4</xdr:col>
      <xdr:colOff>3095625</xdr:colOff>
      <xdr:row>7</xdr:row>
      <xdr:rowOff>76200</xdr:rowOff>
    </xdr:to>
    <xdr:pic>
      <xdr:nvPicPr>
        <xdr:cNvPr id="2" name="Picture 1">
          <a:extLst>
            <a:ext uri="{FF2B5EF4-FFF2-40B4-BE49-F238E27FC236}">
              <a16:creationId xmlns:a16="http://schemas.microsoft.com/office/drawing/2014/main" id="{65FAB44D-24D9-3822-2C14-5E4FA751D173}"/>
            </a:ext>
          </a:extLst>
        </xdr:cNvPr>
        <xdr:cNvPicPr>
          <a:picLocks noChangeAspect="1"/>
        </xdr:cNvPicPr>
      </xdr:nvPicPr>
      <xdr:blipFill>
        <a:blip xmlns:r="http://schemas.openxmlformats.org/officeDocument/2006/relationships" r:embed="rId1"/>
        <a:stretch>
          <a:fillRect/>
        </a:stretch>
      </xdr:blipFill>
      <xdr:spPr>
        <a:xfrm>
          <a:off x="0" y="66675"/>
          <a:ext cx="11353800" cy="1343025"/>
        </a:xfrm>
        <a:prstGeom prst="rect">
          <a:avLst/>
        </a:prstGeom>
      </xdr:spPr>
    </xdr:pic>
    <xdr:clientData/>
  </xdr:twoCellAnchor>
  <xdr:twoCellAnchor editAs="oneCell">
    <xdr:from>
      <xdr:col>0</xdr:col>
      <xdr:colOff>0</xdr:colOff>
      <xdr:row>8</xdr:row>
      <xdr:rowOff>0</xdr:rowOff>
    </xdr:from>
    <xdr:to>
      <xdr:col>4</xdr:col>
      <xdr:colOff>1000125</xdr:colOff>
      <xdr:row>16</xdr:row>
      <xdr:rowOff>47625</xdr:rowOff>
    </xdr:to>
    <xdr:pic>
      <xdr:nvPicPr>
        <xdr:cNvPr id="3" name="Picture 2">
          <a:extLst>
            <a:ext uri="{FF2B5EF4-FFF2-40B4-BE49-F238E27FC236}">
              <a16:creationId xmlns:a16="http://schemas.microsoft.com/office/drawing/2014/main" id="{28D3ED64-C93E-A3F3-B3A0-911FF7FF1FA2}"/>
            </a:ext>
            <a:ext uri="{147F2762-F138-4A5C-976F-8EAC2B608ADB}">
              <a16:predDERef xmlns:a16="http://schemas.microsoft.com/office/drawing/2014/main" pred="{65FAB44D-24D9-3822-2C14-5E4FA751D173}"/>
            </a:ext>
          </a:extLst>
        </xdr:cNvPr>
        <xdr:cNvPicPr>
          <a:picLocks noChangeAspect="1"/>
        </xdr:cNvPicPr>
      </xdr:nvPicPr>
      <xdr:blipFill>
        <a:blip xmlns:r="http://schemas.openxmlformats.org/officeDocument/2006/relationships" r:embed="rId2"/>
        <a:stretch>
          <a:fillRect/>
        </a:stretch>
      </xdr:blipFill>
      <xdr:spPr>
        <a:xfrm>
          <a:off x="0" y="3619500"/>
          <a:ext cx="9258300" cy="1571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hiva Koppolu" id="{91BC281A-F9E1-4515-B8E3-662975ED68E3}" userId="S::shiva.koppolu@zenardy.com::015e240a-9341-4012-b7d4-0db92362602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0.584495717594" createdVersion="8" refreshedVersion="8" minRefreshableVersion="3" recordCount="76" xr:uid="{81AAEA0A-C92B-400D-AE47-C52336BE6E46}">
  <cacheSource type="worksheet">
    <worksheetSource ref="C6:K82" sheet="Sheet5"/>
  </cacheSource>
  <cacheFields count="9">
    <cacheField name="Sl.No" numFmtId="0">
      <sharedItems containsSemiMixedTypes="0" containsString="0" containsNumber="1" containsInteger="1" minValue="1" maxValue="76"/>
    </cacheField>
    <cacheField name="Date Received" numFmtId="14">
      <sharedItems containsNonDate="0" containsDate="1" containsString="0" containsBlank="1" minDate="2026-02-23T00:00:00" maxDate="2026-02-28T00:00:00"/>
    </cacheField>
    <cacheField name="Action Items" numFmtId="0">
      <sharedItems containsBlank="1"/>
    </cacheField>
    <cacheField name="Process" numFmtId="0">
      <sharedItems containsBlank="1"/>
    </cacheField>
    <cacheField name="Resource" numFmtId="0">
      <sharedItems containsBlank="1"/>
    </cacheField>
    <cacheField name="Status" numFmtId="0">
      <sharedItems containsBlank="1"/>
    </cacheField>
    <cacheField name="Field7" numFmtId="0">
      <sharedItems containsBlank="1"/>
    </cacheField>
    <cacheField name="Dependency" numFmtId="0">
      <sharedItems containsBlank="1" count="3">
        <s v="Mobileum"/>
        <s v="Zenardy"/>
        <m/>
      </sharedItems>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3.466459953706" createdVersion="8" refreshedVersion="8" minRefreshableVersion="3" recordCount="339" xr:uid="{F984B9B7-F0E2-4140-B828-BCD0873DD619}">
  <cacheSource type="worksheet">
    <worksheetSource ref="A1:P340" sheet="Use Cases"/>
  </cacheSource>
  <cacheFields count="16">
    <cacheField name="Use Case #" numFmtId="0">
      <sharedItems containsBlank="1"/>
    </cacheField>
    <cacheField name="Scenario" numFmtId="0">
      <sharedItems containsBlank="1"/>
    </cacheField>
    <cacheField name="Role" numFmtId="0">
      <sharedItems containsBlank="1"/>
    </cacheField>
    <cacheField name="Step #" numFmtId="0">
      <sharedItems containsBlank="1"/>
    </cacheField>
    <cacheField name="Step Name" numFmtId="0">
      <sharedItems containsBlank="1"/>
    </cacheField>
    <cacheField name="Step Instructions" numFmtId="0">
      <sharedItems containsBlank="1" longText="1"/>
    </cacheField>
    <cacheField name="Verification" numFmtId="0">
      <sharedItems containsBlank="1"/>
    </cacheField>
    <cacheField name="Responsibility " numFmtId="0">
      <sharedItems containsBlank="1" count="8">
        <m/>
        <s v="Pugal"/>
        <s v="Calvin"/>
        <s v="Vadivel"/>
        <s v="Supraja"/>
        <s v="Roselin"/>
        <s v="Supraja / Calvin"/>
        <s v="Prashanth"/>
      </sharedItems>
    </cacheField>
    <cacheField name="Pass/Fail" numFmtId="0">
      <sharedItems containsBlank="1"/>
    </cacheField>
    <cacheField name="Issue #" numFmtId="0">
      <sharedItems containsBlank="1"/>
    </cacheField>
    <cacheField name="User" numFmtId="0">
      <sharedItems containsBlank="1"/>
    </cacheField>
    <cacheField name="Iteration" numFmtId="0">
      <sharedItems containsBlank="1"/>
    </cacheField>
    <cacheField name="Transaction #" numFmtId="0">
      <sharedItems containsBlank="1" containsMixedTypes="1" containsNumber="1" containsInteger="1" minValue="12" maxValue="13"/>
    </cacheField>
    <cacheField name="Mobileum Comments" numFmtId="0">
      <sharedItems containsBlank="1"/>
    </cacheField>
    <cacheField name="Configuration" numFmtId="0">
      <sharedItems containsBlank="1"/>
    </cacheField>
    <cacheField name="Status" numFmtId="0">
      <sharedItems containsBlank="1" count="4">
        <m/>
        <s v="Completed"/>
        <s v="Not Started"/>
        <s v="In Progres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4.700833333336" createdVersion="8" refreshedVersion="8" minRefreshableVersion="3" recordCount="117" xr:uid="{A2C495AF-4867-45EF-9365-E400A3C03C90}">
  <cacheSource type="worksheet">
    <worksheetSource ref="A1:F1048576" sheet="CRP Action Items"/>
  </cacheSource>
  <cacheFields count="6">
    <cacheField name="Sl.No" numFmtId="0">
      <sharedItems containsString="0" containsBlank="1" containsNumber="1" containsInteger="1" minValue="1" maxValue="113"/>
    </cacheField>
    <cacheField name="Date Received" numFmtId="14">
      <sharedItems containsNonDate="0" containsDate="1" containsString="0" containsBlank="1" minDate="2026-02-23T00:00:00" maxDate="2026-03-04T00:00:00"/>
    </cacheField>
    <cacheField name="Action Items" numFmtId="0">
      <sharedItems containsBlank="1"/>
    </cacheField>
    <cacheField name="Process" numFmtId="0">
      <sharedItems containsBlank="1"/>
    </cacheField>
    <cacheField name="Responsibility" numFmtId="0">
      <sharedItems containsBlank="1"/>
    </cacheField>
    <cacheField name="Status" numFmtId="0">
      <sharedItems containsBlank="1" count="6">
        <s v="Not Started"/>
        <s v="Completed"/>
        <s v="Sent to Mobileum Review"/>
        <s v="In Progress"/>
        <s v="Testing"/>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4.704424074072" createdVersion="8" refreshedVersion="8" minRefreshableVersion="3" recordCount="113" xr:uid="{5716F197-8419-43F3-86B2-28E19407EECE}">
  <cacheSource type="worksheet">
    <worksheetSource ref="C6:J119" sheet="EFT Tracking"/>
  </cacheSource>
  <cacheFields count="8">
    <cacheField name="Sl.No" numFmtId="0">
      <sharedItems containsSemiMixedTypes="0" containsString="0" containsNumber="1" containsInteger="1" minValue="1" maxValue="113"/>
    </cacheField>
    <cacheField name="Date Received" numFmtId="14">
      <sharedItems containsNonDate="0" containsDate="1" containsString="0" containsBlank="1" minDate="2026-02-23T00:00:00" maxDate="2026-03-04T00:00:00"/>
    </cacheField>
    <cacheField name="Action Items" numFmtId="0">
      <sharedItems containsBlank="1"/>
    </cacheField>
    <cacheField name="Process" numFmtId="0">
      <sharedItems containsBlank="1"/>
    </cacheField>
    <cacheField name="Responsibility" numFmtId="0">
      <sharedItems containsBlank="1" count="11">
        <s v="Pugal"/>
        <s v="Supraja"/>
        <s v="Roselin"/>
        <s v="Calvin"/>
        <s v="Agnelo"/>
        <s v="Prasanth"/>
        <s v="Calvin, Supraja, Pugal &amp; Roselin"/>
        <s v="Anurag"/>
        <s v="Calvin, Prasanth, Supraja, Pugal &amp; Roselin"/>
        <s v="Vishal"/>
        <m/>
      </sharedItems>
    </cacheField>
    <cacheField name="Status" numFmtId="0">
      <sharedItems containsBlank="1" count="6">
        <s v="Not Started"/>
        <s v="Completed"/>
        <s v="Sent to Mobileum Review"/>
        <s v="In Progress"/>
        <s v="Testing"/>
        <m/>
      </sharedItems>
    </cacheField>
    <cacheField name="Field7" numFmtId="0">
      <sharedItems containsBlank="1"/>
    </cacheField>
    <cacheField name="Dependenc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n v="1"/>
    <d v="2026-02-23T00:00:00"/>
    <s v="Change the Sender Email for onboard URL"/>
    <s v="Vendor Onboarding Form"/>
    <s v="Pugal"/>
    <s v="Not Started"/>
    <s v="Script"/>
    <x v="0"/>
    <s v="Team to share the sender email address"/>
  </r>
  <r>
    <n v="2"/>
    <d v="2026-02-23T00:00:00"/>
    <s v="Add PST next too expiry date "/>
    <s v="Vendor Onboarding Form"/>
    <s v="Pugal"/>
    <s v="Completed"/>
    <s v="Script"/>
    <x v="1"/>
    <m/>
  </r>
  <r>
    <n v="3"/>
    <d v="2026-02-23T00:00:00"/>
    <s v="Report: Emails that are sent to vendor for onboarding form "/>
    <s v="Vendor Onboarding Form"/>
    <s v="Supraja"/>
    <s v="Completed"/>
    <s v="UI"/>
    <x v="1"/>
    <s v="Mobileum | Sent Email List"/>
  </r>
  <r>
    <n v="4"/>
    <d v="2026-02-23T00:00:00"/>
    <s v="MSME vendor - Terms default to Net45 "/>
    <s v="Vendor Onboarding Form"/>
    <s v="Pugal"/>
    <s v="Completed"/>
    <s v="Script"/>
    <x v="1"/>
    <m/>
  </r>
  <r>
    <n v="5"/>
    <d v="2026-02-23T00:00:00"/>
    <s v="Change label of Billing Contact to - Finance Contact "/>
    <s v="Vendor Onboarding Form"/>
    <s v="Pugal"/>
    <s v="Completed"/>
    <s v="Script"/>
    <x v="1"/>
    <m/>
  </r>
  <r>
    <n v="6"/>
    <d v="2026-02-23T00:00:00"/>
    <s v="Remove AR contact and replace with Vendor POC and have name and email address (repurpose the AR contact fields in NS)"/>
    <s v="Vendor Onboarding Form"/>
    <s v="Pugal"/>
    <s v="Completed"/>
    <s v="Script"/>
    <x v="1"/>
    <m/>
  </r>
  <r>
    <n v="7"/>
    <d v="2026-02-23T00:00:00"/>
    <s v="default Bank detail country to Country "/>
    <s v="Vendor Onboarding Form"/>
    <s v="Pugal"/>
    <s v="Completed"/>
    <s v="Script"/>
    <x v="1"/>
    <m/>
  </r>
  <r>
    <n v="8"/>
    <d v="2026-02-23T00:00:00"/>
    <s v="default bank account name to legal name "/>
    <s v="Vendor Onboarding Form"/>
    <s v="Pugal"/>
    <s v="Completed"/>
    <s v="Script"/>
    <x v="1"/>
    <m/>
  </r>
  <r>
    <n v="9"/>
    <d v="2026-02-23T00:00:00"/>
    <s v="Add doc link options for different docs for vendor details &amp; bank"/>
    <s v="Vendor Onboarding Form"/>
    <s v="Pugal"/>
    <s v="Not Started"/>
    <s v="Script"/>
    <x v="1"/>
    <s v="Mobileum"/>
  </r>
  <r>
    <n v="10"/>
    <d v="2026-02-23T00:00:00"/>
    <s v="Vendor categories field - multi select "/>
    <s v="Vendor Onboarding Form"/>
    <s v="Pugal"/>
    <s v="Completed"/>
    <s v="Script"/>
    <x v="1"/>
    <m/>
  </r>
  <r>
    <n v="11"/>
    <d v="2026-02-23T00:00:00"/>
    <s v="subsidiary in bank details - make it empty "/>
    <s v="Vendor Master"/>
    <s v="Pugal"/>
    <s v="Completed"/>
    <s v="Script"/>
    <x v="1"/>
    <m/>
  </r>
  <r>
    <n v="12"/>
    <d v="2026-02-23T00:00:00"/>
    <s v="vendor validation - finance review - check email content "/>
    <s v="Email Template"/>
    <s v="Roselin"/>
    <s v="Completed"/>
    <s v="UI"/>
    <x v="1"/>
    <m/>
  </r>
  <r>
    <n v="13"/>
    <d v="2026-02-23T00:00:00"/>
    <s v="Approval for additional bank details after vendor is being created"/>
    <s v="Vendor Bank Details"/>
    <s v="Roselin"/>
    <s v="Not Started"/>
    <s v="Workflow"/>
    <x v="1"/>
    <m/>
  </r>
  <r>
    <n v="14"/>
    <d v="2026-02-23T00:00:00"/>
    <s v="Report: vendor by GST details"/>
    <s v="Saved Search"/>
    <s v="Supraja"/>
    <s v="Completed"/>
    <s v="UI"/>
    <x v="1"/>
    <s v="Mobileum | Vendor by GST Details"/>
  </r>
  <r>
    <n v="15"/>
    <d v="2026-02-23T00:00:00"/>
    <s v="Report: List of vendors created in UI"/>
    <s v="Saved Search"/>
    <s v="Supraja"/>
    <s v="Completed"/>
    <s v="UI"/>
    <x v="1"/>
    <s v="Mobileum | List of vendors created in UI"/>
  </r>
  <r>
    <n v="16"/>
    <d v="2026-02-23T00:00:00"/>
    <s v="Report: time between different process"/>
    <s v="Saved Search"/>
    <s v="Calvin"/>
    <s v="Not Started"/>
    <s v="UI"/>
    <x v="1"/>
    <m/>
  </r>
  <r>
    <n v="17"/>
    <d v="2026-02-23T00:00:00"/>
    <s v="vendor onboarding: SCM to send URL - Vendor fill details - submit form - vendor created in NS - SCM review - Finance review - D&amp;B screening confirmation - SCM to sync the vendor to D&amp;B - change the vendor sync to D&amp;B to SCM"/>
    <s v="Vendor Master"/>
    <s v="Roselin"/>
    <s v="Not Started"/>
    <s v="Workflow"/>
    <x v="1"/>
    <m/>
  </r>
  <r>
    <n v="18"/>
    <d v="2026-02-23T00:00:00"/>
    <s v="add extension days in onboard custom record and extend the URL"/>
    <s v="Custom Record"/>
    <s v="Pugal"/>
    <s v="Completed"/>
    <s v="Script"/>
    <x v="1"/>
    <m/>
  </r>
  <r>
    <n v="19"/>
    <d v="2026-02-23T00:00:00"/>
    <s v="Onboarding status, SCM reviewed by &amp; finance review by - gray out "/>
    <s v="Vendor Master"/>
    <s v="Roselin"/>
    <s v="Completed"/>
    <s v="UI"/>
    <x v="1"/>
    <m/>
  </r>
  <r>
    <n v="20"/>
    <d v="2026-02-23T00:00:00"/>
    <s v="report - vendor master audit trail (all the new changes made)"/>
    <s v="Saved Search"/>
    <s v="Supraja"/>
    <s v="Completed"/>
    <s v="UI"/>
    <x v="1"/>
    <s v="Mobileum | Vendor Master Audit Trail"/>
  </r>
  <r>
    <n v="21"/>
    <d v="2026-02-23T00:00:00"/>
    <s v="reorder country first and then state"/>
    <s v="Vendor Onboarding Form"/>
    <s v="Pugal"/>
    <s v="Completed"/>
    <s v="Script"/>
    <x v="1"/>
    <m/>
  </r>
  <r>
    <n v="22"/>
    <d v="2026-02-23T00:00:00"/>
    <s v="business and finance contact - make it as first and last name"/>
    <s v="Vendor Onboarding Form"/>
    <s v="Pugal"/>
    <s v="Completed"/>
    <s v="Script"/>
    <x v="1"/>
    <m/>
  </r>
  <r>
    <n v="23"/>
    <d v="2026-02-23T00:00:00"/>
    <s v="Share the email content of Onboarding Form to SCM team"/>
    <s v="Email Content"/>
    <s v="Roselin"/>
    <s v="Sent to Mobileum Review"/>
    <m/>
    <x v="1"/>
    <m/>
  </r>
  <r>
    <n v="24"/>
    <d v="2026-02-23T00:00:00"/>
    <s v="Share the email content of SCM Analyst Aopproval to SCM team"/>
    <s v="Email Content"/>
    <m/>
    <s v="Sent to Mobileum Review"/>
    <m/>
    <x v="1"/>
    <m/>
  </r>
  <r>
    <n v="25"/>
    <d v="2026-02-23T00:00:00"/>
    <s v="Share the email content of Bill Payment to Treasury Team"/>
    <s v="Email Content"/>
    <m/>
    <s v="Sent to Mobileum Review"/>
    <m/>
    <x v="1"/>
    <m/>
  </r>
  <r>
    <n v="26"/>
    <d v="2026-02-24T00:00:00"/>
    <s v="Date in PR gray Out"/>
    <s v="Purchase Requisitions"/>
    <s v="Roselin"/>
    <s v="Completed"/>
    <s v="Form"/>
    <x v="1"/>
    <m/>
  </r>
  <r>
    <n v="27"/>
    <d v="2026-02-24T00:00:00"/>
    <s v="Suggested vendor - Remove Mandatory"/>
    <s v="Purchase Requisitions"/>
    <s v="Roselin"/>
    <s v="Completed"/>
    <s v="Form"/>
    <x v="1"/>
    <m/>
  </r>
  <r>
    <n v="28"/>
    <d v="2026-02-24T00:00:00"/>
    <s v="Send Rejection Email to Requestors"/>
    <s v="Purchase Requisitions"/>
    <m/>
    <s v="Not Started"/>
    <s v="Workflow"/>
    <x v="1"/>
    <m/>
  </r>
  <r>
    <n v="29"/>
    <d v="2026-02-24T00:00:00"/>
    <s v="Color difference between New / Resubmitted - Saved Search"/>
    <s v="Saved Search"/>
    <s v="Supraja"/>
    <s v="Completed"/>
    <s v="UI"/>
    <x v="1"/>
    <m/>
  </r>
  <r>
    <n v="30"/>
    <d v="2026-02-24T00:00:00"/>
    <s v="Add Tax Items &amp; Freight Items in PR &amp; test"/>
    <s v="Purchase Requisitions"/>
    <s v="Roselin"/>
    <s v="Not Started"/>
    <s v="UI"/>
    <x v="1"/>
    <m/>
  </r>
  <r>
    <n v="31"/>
    <d v="2026-02-24T00:00:00"/>
    <s v="Throw alert if the non operating susbidiary is selected"/>
    <s v="Purchase Requisitions"/>
    <s v="Pugal"/>
    <s v="Not Started"/>
    <s v="Script"/>
    <x v="1"/>
    <s v="Mobileum"/>
  </r>
  <r>
    <n v="32"/>
    <d v="2026-02-24T00:00:00"/>
    <s v="Share the COGS Approval Matrix to SCM Team"/>
    <s v="Approval Matrix"/>
    <s v="Roselin"/>
    <s v="Not Started"/>
    <s v="UI"/>
    <x v="1"/>
    <m/>
  </r>
  <r>
    <n v="33"/>
    <d v="2026-02-24T00:00:00"/>
    <s v="Add Estimated Total in USD field and do the calculation"/>
    <s v="Purchase Requisitions"/>
    <s v="Roselin"/>
    <s v="Completed"/>
    <s v="UI"/>
    <x v="1"/>
    <m/>
  </r>
  <r>
    <n v="34"/>
    <d v="2026-02-24T00:00:00"/>
    <s v="Change the COGS approval based on Estimated Total in USD"/>
    <s v="Purchase Requisitions"/>
    <s v="Roselin"/>
    <s v="Completed"/>
    <s v="UI"/>
    <x v="1"/>
    <m/>
  </r>
  <r>
    <n v="35"/>
    <d v="2026-02-24T00:00:00"/>
    <s v="Approval Resubmission should start from SCM Analyst"/>
    <s v="Purchase Requisitions"/>
    <s v="Roselin"/>
    <s v="Completed"/>
    <s v="UI"/>
    <x v="1"/>
    <m/>
  </r>
  <r>
    <n v="36"/>
    <d v="2026-02-25T00:00:00"/>
    <s v="Rename AP Manager to AP Analyst"/>
    <s v="Role"/>
    <s v="Roselin"/>
    <s v="Completed"/>
    <s v="UI"/>
    <x v="1"/>
    <m/>
  </r>
  <r>
    <n v="37"/>
    <d v="2026-02-25T00:00:00"/>
    <s v="Make Project mandatory if Order Type = COGS"/>
    <s v="Purchase Requisitions"/>
    <s v="Calvin"/>
    <s v="Completed"/>
    <s v="Workflow"/>
    <x v="1"/>
    <m/>
  </r>
  <r>
    <n v="38"/>
    <d v="2026-02-25T00:00:00"/>
    <s v="Make Department mandatory if Order Type = Non COGS"/>
    <s v="Purchase Requisitions"/>
    <s v="Roselin"/>
    <s v="Completed"/>
    <s v="Workflow"/>
    <x v="1"/>
    <m/>
  </r>
  <r>
    <n v="39"/>
    <d v="2026-02-25T00:00:00"/>
    <s v="Add Item Category to the transaction line"/>
    <s v="Purchase Requisitions"/>
    <s v="Calvin"/>
    <s v="Not Started"/>
    <s v="Workflow"/>
    <x v="1"/>
    <m/>
  </r>
  <r>
    <n v="40"/>
    <d v="2026-02-25T00:00:00"/>
    <s v="PO# -- 8 digits"/>
    <s v="Purchase Order"/>
    <s v="Supraja"/>
    <s v="Not Started"/>
    <s v="UI"/>
    <x v="1"/>
    <m/>
  </r>
  <r>
    <n v="41"/>
    <d v="2026-02-25T00:00:00"/>
    <s v="Rename Accrues Purchases account to GR/IR Clearing Account"/>
    <s v="Account"/>
    <s v="Supraja"/>
    <s v="Completed"/>
    <s v="UI"/>
    <x v="1"/>
    <s v="GR/IR Clearing Account"/>
  </r>
  <r>
    <n v="42"/>
    <d v="2026-02-25T00:00:00"/>
    <s v="Remove / Hide Rate in IR for Purchase Requestor role"/>
    <s v="Item Receipt"/>
    <m/>
    <s v="Not Started"/>
    <s v="Workflow"/>
    <x v="1"/>
    <m/>
  </r>
  <r>
    <n v="43"/>
    <d v="2026-02-25T00:00:00"/>
    <s v="Restrict Supervisor from approving if the 3 way is not matching"/>
    <s v="Bill"/>
    <m/>
    <s v="Not Started"/>
    <s v="Workflow + Script"/>
    <x v="1"/>
    <m/>
  </r>
  <r>
    <n v="44"/>
    <d v="2026-02-25T00:00:00"/>
    <s v="Add CSV &amp; Excel download option in Release Payment Suitelet Page"/>
    <s v="Release Payment"/>
    <s v="Prasanth"/>
    <s v="Not Started"/>
    <s v="Script"/>
    <x v="1"/>
    <m/>
  </r>
  <r>
    <n v="45"/>
    <d v="2026-02-25T00:00:00"/>
    <s v="Add Amount in USD in Release Payment suitelet page"/>
    <s v="Release Payment"/>
    <s v="Prasanth"/>
    <s v="Not Started"/>
    <s v="Script"/>
    <x v="1"/>
    <m/>
  </r>
  <r>
    <n v="46"/>
    <d v="2026-02-25T00:00:00"/>
    <s v="Add Mark All &amp; should be visible only for Treasury Head"/>
    <s v="Release Payment"/>
    <s v="Prasanth"/>
    <s v="Not Started"/>
    <s v="Script"/>
    <x v="1"/>
    <m/>
  </r>
  <r>
    <n v="47"/>
    <d v="2026-02-25T00:00:00"/>
    <s v="Customize the Bill Payment PDF"/>
    <s v="PDF Template"/>
    <s v="Pugal"/>
    <s v="In Progress"/>
    <s v="Script"/>
    <x v="1"/>
    <s v="Team to share the exact file"/>
  </r>
  <r>
    <n v="48"/>
    <d v="2026-02-25T00:00:00"/>
    <s v="Customize the PO PDF"/>
    <s v="PDF Template"/>
    <s v="Pugal"/>
    <s v="Completed"/>
    <s v="Script"/>
    <x v="1"/>
    <m/>
  </r>
  <r>
    <n v="49"/>
    <d v="2026-02-25T00:00:00"/>
    <s v="Add the email content for Bill Payment to the email template"/>
    <s v="Email Template"/>
    <s v="Roselin"/>
    <s v="Not Started"/>
    <s v="Workflow"/>
    <x v="1"/>
    <m/>
  </r>
  <r>
    <n v="50"/>
    <d v="2026-02-25T00:00:00"/>
    <s v="Share the PO PDF copy with SCM Team"/>
    <s v="Email Content"/>
    <s v="Roselin"/>
    <s v="Sent to Mobileum Review"/>
    <s v="UI"/>
    <x v="1"/>
    <m/>
  </r>
  <r>
    <n v="51"/>
    <d v="2026-02-25T00:00:00"/>
    <s v="Send the list of countries that has WHT Tax"/>
    <s v="Tax"/>
    <s v="Roselin"/>
    <s v="Not Started"/>
    <m/>
    <x v="0"/>
    <s v="Team to share tehe list of countries that has WHT"/>
  </r>
  <r>
    <n v="52"/>
    <d v="2026-02-25T00:00:00"/>
    <s v="Test the COGS Approval Process - End to End"/>
    <s v="Purchase Requisitions"/>
    <s v="Calvin, Supraja, Pugal &amp; Roselin"/>
    <s v="Testing"/>
    <s v="Workflow + Script"/>
    <x v="1"/>
    <m/>
  </r>
  <r>
    <n v="53"/>
    <d v="2026-02-25T00:00:00"/>
    <s v="Lock the PR after the submitted for approval &amp; after the PR is approved"/>
    <s v="Purchase Requisitions"/>
    <s v="Calvin"/>
    <s v="Testing"/>
    <s v="Workflow"/>
    <x v="1"/>
    <m/>
  </r>
  <r>
    <n v="54"/>
    <d v="2026-02-24T00:00:00"/>
    <s v="Route the Approval for Payment Terms only when updates Term is less than the Default Term in Vendor Master"/>
    <s v="Purchase Requisitions"/>
    <s v="Pugal"/>
    <s v="Not Started"/>
    <s v="Workflow"/>
    <x v="1"/>
    <m/>
  </r>
  <r>
    <n v="55"/>
    <d v="2026-02-26T00:00:00"/>
    <s v="Item Naming Convention - Need Confirmation from SCM"/>
    <s v="Item"/>
    <m/>
    <s v="Not Started"/>
    <m/>
    <x v="0"/>
    <m/>
  </r>
  <r>
    <n v="56"/>
    <d v="2026-02-26T00:00:00"/>
    <s v="3 Way Match Confirmation - Need Confirmation from Agnelo"/>
    <m/>
    <m/>
    <s v="Not Started"/>
    <m/>
    <x v="0"/>
    <m/>
  </r>
  <r>
    <n v="57"/>
    <d v="2026-02-26T00:00:00"/>
    <s v="Report: List of PO - Default Terms vs PO Terms"/>
    <s v="PDF Template"/>
    <s v="Pugal"/>
    <s v="Not Started"/>
    <s v="Script"/>
    <x v="1"/>
    <m/>
  </r>
  <r>
    <n v="58"/>
    <d v="2026-02-27T00:00:00"/>
    <s v="Rename Item Receitp to Good Receipt (GR)"/>
    <m/>
    <s v="Supraja"/>
    <s v="Not Started"/>
    <m/>
    <x v="1"/>
    <m/>
  </r>
  <r>
    <n v="59"/>
    <d v="2026-02-27T00:00:00"/>
    <s v="Rename Vendor Bill to Vendor Invoice (VI)"/>
    <m/>
    <s v="Supraja"/>
    <s v="Not Started"/>
    <m/>
    <x v="1"/>
    <m/>
  </r>
  <r>
    <n v="60"/>
    <d v="2026-02-27T00:00:00"/>
    <s v="Relable Transaction Date to Invoice Date"/>
    <m/>
    <s v="Supraja"/>
    <s v="Not Started"/>
    <m/>
    <x v="1"/>
    <m/>
  </r>
  <r>
    <n v="61"/>
    <d v="2026-02-27T00:00:00"/>
    <s v="Add a field called Creation Date and map the date on which the Bill is created"/>
    <m/>
    <s v="Supraja"/>
    <s v="Not Started"/>
    <m/>
    <x v="1"/>
    <m/>
  </r>
  <r>
    <n v="62"/>
    <d v="2026-02-27T00:00:00"/>
    <s v="Send Automatic emails to vendor for Statement of Account for selective vendors"/>
    <m/>
    <s v="Pugal"/>
    <s v="Not Started"/>
    <m/>
    <x v="0"/>
    <s v="send the vendors who has to receive emails automatically"/>
  </r>
  <r>
    <n v="63"/>
    <d v="2026-02-27T00:00:00"/>
    <s v="Send on Demand emails to vendor for Statement of Account"/>
    <m/>
    <s v="Pugal"/>
    <s v="Not Started"/>
    <m/>
    <x v="1"/>
    <m/>
  </r>
  <r>
    <n v="64"/>
    <d v="2026-02-27T00:00:00"/>
    <s v="AP Aging Report - Add Posting Date to the report"/>
    <m/>
    <s v="Supraja"/>
    <s v="Not Started"/>
    <m/>
    <x v="1"/>
    <m/>
  </r>
  <r>
    <n v="65"/>
    <d v="2026-02-24T00:00:00"/>
    <s v="Provide the List of Operation subsidiaries"/>
    <m/>
    <m/>
    <s v="Not Started"/>
    <m/>
    <x v="0"/>
    <m/>
  </r>
  <r>
    <n v="66"/>
    <d v="2026-02-23T00:00:00"/>
    <s v="Send the list of documents to be uplaoded by the vendor for the vendor onboarding details and bank details"/>
    <m/>
    <m/>
    <s v="Not Started"/>
    <m/>
    <x v="0"/>
    <m/>
  </r>
  <r>
    <n v="67"/>
    <d v="2026-02-25T00:00:00"/>
    <s v="Budget Creation &amp; Validation confirmation for COGS"/>
    <m/>
    <m/>
    <s v="Not Started"/>
    <m/>
    <x v="0"/>
    <m/>
  </r>
  <r>
    <n v="68"/>
    <d v="2026-02-27T00:00:00"/>
    <s v="Confirm Roles"/>
    <m/>
    <m/>
    <s v="Not Started"/>
    <m/>
    <x v="0"/>
    <m/>
  </r>
  <r>
    <n v="69"/>
    <d v="2026-02-26T00:00:00"/>
    <s v="Send the Bill Payment PDF to customize"/>
    <m/>
    <m/>
    <s v="Not Started"/>
    <m/>
    <x v="0"/>
    <m/>
  </r>
  <r>
    <n v="70"/>
    <m/>
    <m/>
    <m/>
    <m/>
    <m/>
    <m/>
    <x v="2"/>
    <m/>
  </r>
  <r>
    <n v="71"/>
    <m/>
    <m/>
    <m/>
    <m/>
    <m/>
    <m/>
    <x v="2"/>
    <m/>
  </r>
  <r>
    <n v="72"/>
    <m/>
    <m/>
    <m/>
    <m/>
    <m/>
    <m/>
    <x v="2"/>
    <m/>
  </r>
  <r>
    <n v="73"/>
    <m/>
    <m/>
    <m/>
    <m/>
    <m/>
    <m/>
    <x v="2"/>
    <m/>
  </r>
  <r>
    <n v="74"/>
    <m/>
    <m/>
    <m/>
    <m/>
    <m/>
    <m/>
    <x v="2"/>
    <m/>
  </r>
  <r>
    <n v="75"/>
    <m/>
    <m/>
    <m/>
    <m/>
    <m/>
    <m/>
    <x v="2"/>
    <m/>
  </r>
  <r>
    <n v="76"/>
    <m/>
    <m/>
    <m/>
    <m/>
    <m/>
    <m/>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Create a Vendor"/>
    <m/>
    <m/>
    <m/>
    <m/>
    <m/>
    <m/>
    <x v="0"/>
    <m/>
    <m/>
    <m/>
    <m/>
    <m/>
    <m/>
    <m/>
    <x v="0"/>
  </r>
  <r>
    <s v="PTP01"/>
    <s v="New Vendor Creation"/>
    <s v="Vendor"/>
    <s v="Step 1"/>
    <s v="Vendor Creation in Onboarding Form"/>
    <s v="1. SCM team will send the Vendor Onboarding Form URL to the Vendor from NetSuite. _x000a_2. The URL is available for 10business days initially._x000a_3. The URL will be an expirable link "/>
    <s v="After clicking URL, It will take to Vendor on boarding form"/>
    <x v="1"/>
    <m/>
    <m/>
    <m/>
    <m/>
    <m/>
    <m/>
    <s v="Script and Suitelet"/>
    <x v="1"/>
  </r>
  <r>
    <m/>
    <m/>
    <m/>
    <s v="Step 2"/>
    <m/>
    <s v="Vendor will Sign up using his organizational email ID"/>
    <s v="After submitting, all the filled details will be transferred into NetSuite Vendor record"/>
    <x v="1"/>
    <m/>
    <m/>
    <m/>
    <m/>
    <m/>
    <m/>
    <s v="Script and Suitelet"/>
    <x v="1"/>
  </r>
  <r>
    <m/>
    <m/>
    <m/>
    <s v="Step 3"/>
    <m/>
    <s v="Enter all the Mandatory details in the form including bank details"/>
    <m/>
    <x v="1"/>
    <m/>
    <m/>
    <m/>
    <m/>
    <m/>
    <m/>
    <s v="Script and Suitelet"/>
    <x v="1"/>
  </r>
  <r>
    <m/>
    <m/>
    <m/>
    <s v="Step 4"/>
    <m/>
    <s v="Upload supporting documents and Submit the form"/>
    <s v="All the documents should be available in NetSuite vendor record after successful Submission."/>
    <x v="1"/>
    <m/>
    <m/>
    <m/>
    <m/>
    <m/>
    <m/>
    <s v="Script and Suitelet"/>
    <x v="1"/>
  </r>
  <r>
    <m/>
    <m/>
    <m/>
    <s v="Step 5"/>
    <m/>
    <s v="Confirm the URL is expired after specified time"/>
    <s v="URL cannot be accessed after specified time limit- 10 days ( extension for 5 more days)"/>
    <x v="1"/>
    <m/>
    <m/>
    <m/>
    <m/>
    <m/>
    <m/>
    <m/>
    <x v="1"/>
  </r>
  <r>
    <m/>
    <m/>
    <m/>
    <s v="Step 6"/>
    <m/>
    <s v="Extend URL to 5 business days if the extension requested by the vendor by clicking on &quot;Extend&quot; button in the custom record"/>
    <m/>
    <x v="1"/>
    <m/>
    <m/>
    <m/>
    <m/>
    <m/>
    <m/>
    <s v="Script and Suitelet"/>
    <x v="1"/>
  </r>
  <r>
    <s v="PTP02"/>
    <m/>
    <m/>
    <s v="Step 7"/>
    <s v="Confirmation "/>
    <s v="1. New Vendor is created in inactive state_x000a_2. Vendor ID is the combination of the sequnetial number from NetSuite and Subsidiary code"/>
    <s v="Confirm Subsidiary code and Number as vendor ID"/>
    <x v="1"/>
    <m/>
    <m/>
    <m/>
    <m/>
    <m/>
    <m/>
    <m/>
    <x v="1"/>
  </r>
  <r>
    <m/>
    <m/>
    <s v="SCM Analyst"/>
    <s v="Step 8"/>
    <s v="Verification by SCM "/>
    <s v="SCM Team or Finance team can update the vendor details directly in NetSuite if there are any"/>
    <s v="Finance team will be notified for further review"/>
    <x v="2"/>
    <m/>
    <m/>
    <m/>
    <m/>
    <m/>
    <m/>
    <s v="Workflow"/>
    <x v="1"/>
  </r>
  <r>
    <m/>
    <m/>
    <m/>
    <s v="Step 9"/>
    <m/>
    <s v="Once the SCM validation is completed, Click on &quot;SCM Review Completed&quot; after verification"/>
    <m/>
    <x v="2"/>
    <m/>
    <m/>
    <m/>
    <m/>
    <m/>
    <m/>
    <s v="Workflow"/>
    <x v="1"/>
  </r>
  <r>
    <m/>
    <m/>
    <s v="Finance Analyst"/>
    <s v="Step 10"/>
    <s v="Verification by Finance ( Non D&amp;B) vendor "/>
    <s v="_x000a_1. Once SCM team triggers the &quot;SCM Review completed&quot; button, a notification will be sent to Finance team to start reviewing_x000a_2. Finance Team will validate the bank details and uncheck the &quot;D&amp;B Screening required&quot; Checkbox if the vendor do not require the screening process in D&amp;B system and Save it._x000a_"/>
    <s v="Finance Team will validate the bank details and uncheck the &quot;Sync vendor to D&amp;B&quot; Checkbox and Save it."/>
    <x v="2"/>
    <m/>
    <m/>
    <m/>
    <m/>
    <m/>
    <m/>
    <s v="Workflow"/>
    <x v="1"/>
  </r>
  <r>
    <m/>
    <m/>
    <s v="Finance Analyst"/>
    <s v="Step 11"/>
    <s v="Verification by Finance ( D&amp;B) vendor "/>
    <s v="Finance Team tiggers the &quot;Sync vendor to D&amp;B&quot; button and this will create vendor in D&amp;B System"/>
    <s v="Vendor creation with all data in D&amp;B system with along with NetSuite ID"/>
    <x v="3"/>
    <m/>
    <m/>
    <m/>
    <m/>
    <m/>
    <m/>
    <s v="Integration/Script"/>
    <x v="2"/>
  </r>
  <r>
    <s v="PTP03"/>
    <m/>
    <s v="Legal Team, Security Team &amp; Privacy Team"/>
    <s v="Step 12"/>
    <s v="Vendor Creation in D&amp;B"/>
    <s v="Once the validation is completed by Legal, Privacy and Secutiry Team in D&amp;B, based on the Status Change to &quot;Approved&quot; , the vendor is made active in NetSuite automatically. "/>
    <s v="D&amp;B Status in NetSuite vendor record  is changed to &quot;Approved&quot; and vendor status is &quot;Active&quot;"/>
    <x v="3"/>
    <m/>
    <m/>
    <m/>
    <m/>
    <m/>
    <m/>
    <s v="Integration/Script"/>
    <x v="2"/>
  </r>
  <r>
    <s v="Procure to Pay: Create Purchase Requisition"/>
    <m/>
    <m/>
    <m/>
    <m/>
    <m/>
    <m/>
    <x v="0"/>
    <m/>
    <m/>
    <m/>
    <m/>
    <m/>
    <m/>
    <m/>
    <x v="0"/>
  </r>
  <r>
    <s v="PTP04"/>
    <s v="Purchase Requisition"/>
    <s v="Purchasing Team"/>
    <s v="Step 1"/>
    <s v="Create Purchase Requisition"/>
    <s v="Navigation: Transactions &gt; Purchases &gt; Enter Requisitions"/>
    <m/>
    <x v="4"/>
    <m/>
    <m/>
    <m/>
    <m/>
    <m/>
    <m/>
    <s v="OOB"/>
    <x v="1"/>
  </r>
  <r>
    <m/>
    <m/>
    <m/>
    <s v="Step 2"/>
    <m/>
    <s v="1. To create the Purchase Requisition, enter the Subsidiary, currency, Items, quantity, rate, Department, Class, location, Order Types._x000a_2. Attach the files if there are any_x000a_3. then click on the Save button to save the transaction_x000a_"/>
    <s v="1. PR Is created successfully and the PR number is generated_x000a_2. PR is created in pending approval"/>
    <x v="4"/>
    <m/>
    <m/>
    <m/>
    <m/>
    <n v="12"/>
    <m/>
    <s v="OOB"/>
    <x v="1"/>
  </r>
  <r>
    <m/>
    <m/>
    <m/>
    <s v="Step 3"/>
    <m/>
    <s v="Once the Purchase Requisition is saved, the requestor will trigger the button called &quot;Submit the PR for SCM review&quot;"/>
    <m/>
    <x v="4"/>
    <m/>
    <m/>
    <m/>
    <m/>
    <n v="13"/>
    <m/>
    <s v="Workflow"/>
    <x v="1"/>
  </r>
  <r>
    <s v="PTP05"/>
    <m/>
    <s v="SCM Analyst"/>
    <s v="Step 4"/>
    <s v="Purchase Requisition Review by SCM Analyst"/>
    <s v="SCM Analyst to review the provided information in PR"/>
    <s v="Check and Confirm all the details are added"/>
    <x v="4"/>
    <m/>
    <m/>
    <m/>
    <m/>
    <s v="Workflow Link"/>
    <m/>
    <s v="Workflow"/>
    <x v="1"/>
  </r>
  <r>
    <m/>
    <m/>
    <s v="SCM Analyst"/>
    <s v="Step 5"/>
    <m/>
    <s v="Once SCM validates nd confirms the PR, triggers the &quot;Submit for Approval&quot; button to send PR for approval to SCM head"/>
    <m/>
    <x v="4"/>
    <m/>
    <m/>
    <m/>
    <m/>
    <m/>
    <m/>
    <s v="Workflow"/>
    <x v="1"/>
  </r>
  <r>
    <s v="Procure to Pay: COGS PR Approval"/>
    <m/>
    <m/>
    <m/>
    <m/>
    <m/>
    <m/>
    <x v="0"/>
    <m/>
    <m/>
    <m/>
    <m/>
    <m/>
    <m/>
    <m/>
    <x v="0"/>
  </r>
  <r>
    <m/>
    <s v="COGS PR Approval"/>
    <s v="SCM Head"/>
    <m/>
    <m/>
    <s v="PR of any amount to be approved by SCM Head first. "/>
    <m/>
    <x v="2"/>
    <m/>
    <m/>
    <m/>
    <m/>
    <m/>
    <m/>
    <s v="Script"/>
    <x v="1"/>
  </r>
  <r>
    <s v="Procure to Pay: COGS PR Approval - Amount &lt; $5000"/>
    <m/>
    <m/>
    <m/>
    <m/>
    <m/>
    <m/>
    <x v="0"/>
    <m/>
    <m/>
    <m/>
    <m/>
    <m/>
    <m/>
    <m/>
    <x v="0"/>
  </r>
  <r>
    <s v="PTP06"/>
    <s v="Amount &lt; $5000"/>
    <s v="SCM Head"/>
    <s v="Step 1"/>
    <s v="Amount &lt; 5000_x000a_Budget - Available_x000a_Payment Term - matches"/>
    <s v="SCM Head will approve the PR"/>
    <s v="Check if SCM head approved the PR"/>
    <x v="2"/>
    <m/>
    <m/>
    <m/>
    <m/>
    <s v="P35"/>
    <m/>
    <s v="Workflow"/>
    <x v="1"/>
  </r>
  <r>
    <m/>
    <m/>
    <s v="SCM Head &amp; CFO"/>
    <s v="Step 1"/>
    <s v="Amount &lt; 5000_x000a_Budget - not Available_x000a_Payment Term - matches"/>
    <s v="SCM Head and CFO will approve the PR"/>
    <s v="Check if SCM Head and CFO approved the PR"/>
    <x v="2"/>
    <m/>
    <m/>
    <m/>
    <m/>
    <s v="P36"/>
    <m/>
    <s v="Workflow"/>
    <x v="1"/>
  </r>
  <r>
    <m/>
    <m/>
    <s v="SCM Head_x000a_Corporate Controller"/>
    <s v="Step 1"/>
    <s v="Amount &lt; 5000_x000a_Budget - Available_x000a_Payment Term - not matches"/>
    <s v="SCM Head and Corporate Controller  will approve the PR"/>
    <s v="Check if SCM Head, Corporate Controller approved the PR"/>
    <x v="2"/>
    <m/>
    <m/>
    <m/>
    <m/>
    <s v="P37"/>
    <m/>
    <s v="Workflow"/>
    <x v="1"/>
  </r>
  <r>
    <m/>
    <m/>
    <s v="SCM Head_x000a_CFO_x000a_Corporate Controller"/>
    <s v="Step 1"/>
    <s v="Amount &lt; 5000_x000a_Budget - not Available_x000a_Payment Term - not matches"/>
    <s v="SCM Head, CFO and Corporate Controller  will approve the PR"/>
    <s v="Check if SCM Head, CFO and Corporate Controller approved the PR"/>
    <x v="2"/>
    <m/>
    <m/>
    <m/>
    <m/>
    <s v="PR33"/>
    <m/>
    <s v="Workflow"/>
    <x v="1"/>
  </r>
  <r>
    <s v="Procure to Pay: COGS PR Approval - Amount &gt; $5000"/>
    <m/>
    <m/>
    <m/>
    <m/>
    <m/>
    <m/>
    <x v="0"/>
    <m/>
    <m/>
    <m/>
    <m/>
    <m/>
    <m/>
    <m/>
    <x v="0"/>
  </r>
  <r>
    <s v="PTP07"/>
    <s v="Amount &gt; $5000"/>
    <s v="SCM Head, Department Head &amp; CFO"/>
    <s v="Step 1"/>
    <s v="Amount &gt; 5000_x000a_Budget - Available_x000a_Payment Term - Matches_x000a_Prepayment - Paid"/>
    <s v="SCM Head, Department Head &amp; CFO will approve the PR"/>
    <s v="Confirm if SCM Head, Department Head &amp; CFO approved the PR"/>
    <x v="2"/>
    <s v="Pass"/>
    <m/>
    <m/>
    <m/>
    <s v="PR43"/>
    <m/>
    <s v="Workflow"/>
    <x v="1"/>
  </r>
  <r>
    <m/>
    <m/>
    <s v="SCM Head, Department Head"/>
    <s v="Step 1"/>
    <s v="Amount &gt; 5000_x000a_Budget - Available_x000a_Payment Term - Matches_x000a_Prepayment - No"/>
    <s v="SCM Head, Department Head will approve the PR"/>
    <s v="Confirm if SCM Head, Department Head approved the PR"/>
    <x v="2"/>
    <s v="Pass"/>
    <m/>
    <m/>
    <m/>
    <s v="PR40"/>
    <m/>
    <s v="Workflow"/>
    <x v="1"/>
  </r>
  <r>
    <m/>
    <m/>
    <s v="SCM Head, Department Head, FPA &amp; CFO"/>
    <s v="Step 1"/>
    <s v="Amount &gt; 5000_x000a_Budget - not Available_x000a_Payment Term - Matches_x000a_Prepayment - Paid"/>
    <s v="SCM Head, Department Head, FPA &amp; CFO will approve the PR"/>
    <s v="Confirm if SCM Head, Department Head, FPA &amp; CFO approved the PR"/>
    <x v="2"/>
    <s v="Pass"/>
    <m/>
    <m/>
    <m/>
    <s v="PR44"/>
    <m/>
    <s v="Workflow"/>
    <x v="1"/>
  </r>
  <r>
    <m/>
    <m/>
    <s v="SCM Head, Department Head &amp; FPA"/>
    <s v="Step 1"/>
    <s v="Amount &gt; 5000_x000a_Budget - not Available_x000a_Payment Term - Matches_x000a_Prepayment - No"/>
    <s v="SCM Head, Department Head &amp; FPA will approve the PR"/>
    <s v="Confirm if SCM Head, Department Head &amp; FPA approved the PR"/>
    <x v="2"/>
    <s v="Pass"/>
    <m/>
    <m/>
    <m/>
    <s v="PR45"/>
    <m/>
    <s v="Workflow"/>
    <x v="1"/>
  </r>
  <r>
    <m/>
    <m/>
    <s v="SCM Head, Department Head &amp; Corporate Controller"/>
    <s v="Step 1"/>
    <s v="Amount &gt; 5000_x000a_Budget - Available_x000a_Payment Term - Do not Match &amp; amount &lt;10k_x000a_Prepayment = No"/>
    <s v="SCM Head, Department Head &amp; Corporate Controller will approve the PR"/>
    <s v="Confirm if SCM Head, Department Head &amp; Corporate Controller approved the PR"/>
    <x v="2"/>
    <s v="Pass"/>
    <m/>
    <m/>
    <m/>
    <s v="PR46"/>
    <m/>
    <s v="Workflow"/>
    <x v="1"/>
  </r>
  <r>
    <m/>
    <m/>
    <s v="SCM Head, Department Head, Corporate Controller &amp; CFO"/>
    <s v="Step 1"/>
    <s v="Amount &gt; 5000_x000a_Budget - Available_x000a_Payment Term - Do not Match &amp; amount &lt;10k_x000a_Prepayment = Yes"/>
    <s v="SCM Head, Department Head, Corporate Controller &amp; CFO will approve the PR"/>
    <s v="Confirm if SCM Head, Department Head, Corporate Controller &amp; CFO approved the PR"/>
    <x v="2"/>
    <m/>
    <m/>
    <m/>
    <m/>
    <m/>
    <m/>
    <s v="Workflow"/>
    <x v="1"/>
  </r>
  <r>
    <m/>
    <m/>
    <s v="SCM Head, Department Head, CAO &amp; CFO"/>
    <s v="Step 1"/>
    <s v="Amount &gt; 5000_x000a_Budget - Available_x000a_Payment Term - Do not Match &amp; amount bet 10k &amp; 50K_x000a_Prepayment = Yes"/>
    <s v="SCM Head, Department Head, CAO &amp; CFO will approve the PR"/>
    <s v="Confirm if SCM Head, Department Head, CAO &amp; CFO approved the PR"/>
    <x v="2"/>
    <m/>
    <m/>
    <m/>
    <m/>
    <m/>
    <m/>
    <s v="Workflow"/>
    <x v="1"/>
  </r>
  <r>
    <m/>
    <m/>
    <s v="SCM Head, Department Head &amp; CAO"/>
    <s v="Step 1"/>
    <s v="Amount &gt; 5000_x000a_Budget - Available_x000a_Payment Term - Do not Match &amp; amount bet 10k &amp; 50K_x000a_Prepayment = No"/>
    <s v="SCM Head, Department Head &amp; CAO will approve the PR"/>
    <s v="Confirm if SCM Head, Department Head &amp; CAO approved the PR"/>
    <x v="2"/>
    <m/>
    <m/>
    <m/>
    <m/>
    <m/>
    <m/>
    <s v="Workflow"/>
    <x v="1"/>
  </r>
  <r>
    <m/>
    <m/>
    <s v="SCM Head, Department Head, COO &amp; CFO"/>
    <s v="Step 1"/>
    <s v="Amount &gt; 5000_x000a_Budget - Available_x000a_Payment Term - Do not Match &amp; amount &gt;50K_x000a_Prepayment = Yes"/>
    <s v="SCM Head, Department Head, COO &amp; CFO will approve the PR"/>
    <s v="Confirm if SCM Head, Department Head, COO &amp; CFO approved the PR"/>
    <x v="2"/>
    <m/>
    <m/>
    <m/>
    <m/>
    <m/>
    <m/>
    <s v="Workflow"/>
    <x v="1"/>
  </r>
  <r>
    <m/>
    <m/>
    <s v="SCM Head, Department Head &amp; COO"/>
    <s v="Step 1"/>
    <s v="Amount &gt; 5000_x000a_Budget - Available_x000a_Payment Term - Do not Match &amp; amount bet &gt;50K_x000a_Prepayment = No"/>
    <s v="SCM Head, Department Head &amp; COO will approve the PR"/>
    <s v="Confirm if SCM Head, Department Head &amp; COO approved the PR"/>
    <x v="2"/>
    <m/>
    <m/>
    <m/>
    <m/>
    <m/>
    <m/>
    <s v="Workflow"/>
    <x v="1"/>
  </r>
  <r>
    <m/>
    <m/>
    <s v="SCM Head, Department Head, FPA, Corporate Controller &amp; CFO"/>
    <s v="Step 1"/>
    <s v="Amount &gt;5000_x000a_Budget - Not Available_x000a_Payment Term - Not Matches &amp; Amount &lt;10K_x000a_Prepayment = Yes"/>
    <s v="SCM Head, Department Head, FPA, Corporate Controller &amp; CFO will approve the PR"/>
    <s v="Confirm if SCM Head, Department Head, FPA, Corporate Controller &amp; CFO approved the PR"/>
    <x v="2"/>
    <m/>
    <m/>
    <m/>
    <m/>
    <m/>
    <m/>
    <s v="Workflow"/>
    <x v="1"/>
  </r>
  <r>
    <m/>
    <m/>
    <s v="SCM Head, Department Head, FPA &amp; Corporate Controller"/>
    <s v="Step 1"/>
    <s v="Amount &gt;5000_x000a_Budget - Not Available_x000a_Payment Term - Not Matches &amp; Amount &lt;10K_x000a_Prepayment = No"/>
    <s v="SCM Head, Department Head, FPA &amp; Corporate Controller will approve the PR"/>
    <s v="Confirm if SCM Head, Department Head, FPA &amp; Corporate Controller approved the PR"/>
    <x v="2"/>
    <m/>
    <m/>
    <m/>
    <m/>
    <m/>
    <m/>
    <s v="Workflow"/>
    <x v="1"/>
  </r>
  <r>
    <m/>
    <m/>
    <s v="SCM Head, Department Head, FPA, Corporate Controller, CAO &amp; CFO"/>
    <s v="Step 1"/>
    <s v="Amount &gt;5000_x000a_Budget - Not Available_x000a_Payment Term - Not Matches &amp; Amount bet 10K &amp; 50K_x000a_Prepayment = Yes"/>
    <s v="SCM Head, Department Head, FPA, Corporate Controller, CAO &amp; CFO will approve the PR"/>
    <s v="Confirm if SCM Head, Department Head, FPA, Corporate Controller, CAO &amp; CFO approved the PR"/>
    <x v="2"/>
    <m/>
    <m/>
    <m/>
    <m/>
    <m/>
    <m/>
    <s v="Workflow"/>
    <x v="1"/>
  </r>
  <r>
    <m/>
    <m/>
    <s v="SCM Head, Department Head, FPA, Corporate Controller &amp; CAO"/>
    <s v="Step 1"/>
    <s v="Amount &gt;5000_x000a_Budget - Not Available_x000a_Payment Term - Not Matches &amp; Amount bet 10K &amp; 50K_x000a_Prepayment = No"/>
    <s v="SCM Head, Department Head, FPA, Corporate Controller &amp; CAO will approve the PR"/>
    <s v="Confirm if SCM Head, Department Head, FPA, Corporate Controller &amp; CAO approved the PR"/>
    <x v="2"/>
    <m/>
    <m/>
    <m/>
    <m/>
    <m/>
    <m/>
    <s v="Workflow"/>
    <x v="1"/>
  </r>
  <r>
    <m/>
    <m/>
    <s v="SCM Head, Department Head, FPA, COO, &amp; CFO"/>
    <s v="Step 1"/>
    <s v="Amount &gt;5000_x000a_Budget - Not Available_x000a_Payment Term - Not Matches &amp; Amount bet &gt;50K_x000a_Prepayment = Yes"/>
    <s v="SCM Head, Department Head, FPA, COO, &amp; CFO will approve the PR"/>
    <s v="Confirm if SCM Head, Department Head, FPA, COO, &amp; CFO approved the PR"/>
    <x v="2"/>
    <m/>
    <m/>
    <m/>
    <m/>
    <m/>
    <m/>
    <s v="Workflow"/>
    <x v="1"/>
  </r>
  <r>
    <m/>
    <m/>
    <s v="SCM Head, Department Head, FPA &amp; COO"/>
    <s v="Step 1"/>
    <s v="Amount &gt;5000_x000a_Budget - Not Available_x000a_Payment Term - Not Matches &amp; Amount bet &gt;50K_x000a_Prepayment = No"/>
    <s v="SCM Head, Department Head, FPA &amp; COO will approve the PR"/>
    <s v="Confirm if SCM Head, Department Head, FPA &amp; COO approved the PR"/>
    <x v="2"/>
    <m/>
    <m/>
    <m/>
    <m/>
    <m/>
    <m/>
    <s v="Workflow"/>
    <x v="1"/>
  </r>
  <r>
    <s v="Procure to Pay: COGS PR Approval - Rejection"/>
    <m/>
    <m/>
    <m/>
    <m/>
    <m/>
    <m/>
    <x v="0"/>
    <m/>
    <m/>
    <m/>
    <m/>
    <m/>
    <m/>
    <m/>
    <x v="0"/>
  </r>
  <r>
    <s v="PTP08"/>
    <s v="Rejection"/>
    <s v="Rejection"/>
    <s v="Step 1"/>
    <s v="Rejection"/>
    <s v="If the PR is rejected at any level, it will be routed from the beginning for the reapproval"/>
    <m/>
    <x v="2"/>
    <m/>
    <m/>
    <m/>
    <m/>
    <m/>
    <m/>
    <s v="Workflow"/>
    <x v="1"/>
  </r>
  <r>
    <s v="Procure to Pay: Non-COGS PR Approval"/>
    <m/>
    <m/>
    <m/>
    <m/>
    <m/>
    <m/>
    <x v="0"/>
    <m/>
    <m/>
    <m/>
    <m/>
    <m/>
    <m/>
    <m/>
    <x v="0"/>
  </r>
  <r>
    <s v="PTP09"/>
    <s v="Non-COGS PR Approval"/>
    <m/>
    <m/>
    <m/>
    <s v="PR of any amount to be approved by SCM Head. "/>
    <m/>
    <x v="1"/>
    <m/>
    <m/>
    <m/>
    <m/>
    <m/>
    <m/>
    <s v="Script"/>
    <x v="2"/>
  </r>
  <r>
    <s v="Procure to Pay: Non-COGS PR Approval - DEPARTMENT: RISK"/>
    <m/>
    <m/>
    <m/>
    <m/>
    <m/>
    <m/>
    <x v="0"/>
    <m/>
    <m/>
    <m/>
    <m/>
    <m/>
    <m/>
    <m/>
    <x v="0"/>
  </r>
  <r>
    <s v="PTP10"/>
    <s v="Risk"/>
    <s v="Director / Senior Director"/>
    <s v="Step 1"/>
    <s v="&lt;=15K"/>
    <s v="Director / Senior Director will approve the PR"/>
    <m/>
    <x v="4"/>
    <m/>
    <m/>
    <m/>
    <m/>
    <m/>
    <m/>
    <s v="Workflow"/>
    <x v="2"/>
  </r>
  <r>
    <m/>
    <m/>
    <s v="SVP &amp; Global Head - Risk"/>
    <s v="Step 1"/>
    <s v="&gt;15k to &lt;=50K"/>
    <s v="SVP &amp; Global Head - Risk will approve the PR"/>
    <m/>
    <x v="4"/>
    <m/>
    <m/>
    <m/>
    <m/>
    <m/>
    <m/>
    <s v="Workflow"/>
    <x v="2"/>
  </r>
  <r>
    <m/>
    <m/>
    <s v="COO &amp;  CFO"/>
    <s v="Step 1"/>
    <s v="&gt;50K to &lt;=250K"/>
    <s v="COO &amp;  CFO will approve the PR"/>
    <m/>
    <x v="4"/>
    <m/>
    <m/>
    <m/>
    <m/>
    <m/>
    <m/>
    <s v="Workflow"/>
    <x v="2"/>
  </r>
  <r>
    <m/>
    <m/>
    <s v="CEO"/>
    <s v="Step 1"/>
    <s v="&gt;250K"/>
    <s v="CEO will approve the PR"/>
    <m/>
    <x v="4"/>
    <m/>
    <m/>
    <m/>
    <m/>
    <m/>
    <m/>
    <s v="Workflow"/>
    <x v="2"/>
  </r>
  <r>
    <s v="Procure to Pay: Non-COGS PR Approval - DEPARTMENT: E&amp;E, ROAMING, SECURITY &amp; TESTING"/>
    <m/>
    <m/>
    <m/>
    <m/>
    <m/>
    <m/>
    <x v="0"/>
    <m/>
    <m/>
    <m/>
    <m/>
    <m/>
    <m/>
    <m/>
    <x v="0"/>
  </r>
  <r>
    <s v="PTP11"/>
    <s v="E&amp;E, Roaming, Security and Testing"/>
    <s v="Director / Senior Director"/>
    <s v="Step 1"/>
    <s v="&lt;=15K"/>
    <s v="Director / Senior Director will approve the PR"/>
    <m/>
    <x v="5"/>
    <m/>
    <m/>
    <m/>
    <m/>
    <m/>
    <m/>
    <s v="Workflow"/>
    <x v="2"/>
  </r>
  <r>
    <m/>
    <m/>
    <s v="VP / SVP"/>
    <s v="Step 1"/>
    <s v="&gt;15k to &lt;=30K"/>
    <s v="VP / SVP will approve the PR"/>
    <m/>
    <x v="5"/>
    <m/>
    <m/>
    <m/>
    <m/>
    <m/>
    <m/>
    <s v="Workflow"/>
    <x v="2"/>
  </r>
  <r>
    <m/>
    <m/>
    <s v="Chief Product Officer"/>
    <s v="Step 1"/>
    <s v="&gt;30k to &lt;=50K"/>
    <s v="Chief Product Officer will approve the PR"/>
    <m/>
    <x v="5"/>
    <m/>
    <m/>
    <m/>
    <m/>
    <m/>
    <m/>
    <s v="Workflow"/>
    <x v="2"/>
  </r>
  <r>
    <m/>
    <m/>
    <s v="COO &amp;  CFO"/>
    <s v="Step 1"/>
    <s v="&gt;50K to &lt;=250K"/>
    <s v="COO &amp;  CFO will approve the PR"/>
    <m/>
    <x v="5"/>
    <m/>
    <m/>
    <m/>
    <m/>
    <m/>
    <m/>
    <s v="Workflow"/>
    <x v="2"/>
  </r>
  <r>
    <m/>
    <m/>
    <s v="CEO"/>
    <s v="Step 1"/>
    <s v="&gt;250K"/>
    <s v="CEO will approve the PR"/>
    <m/>
    <x v="5"/>
    <m/>
    <m/>
    <m/>
    <m/>
    <m/>
    <m/>
    <s v="Workflow"/>
    <x v="2"/>
  </r>
  <r>
    <s v="Procure to Pay: Non-COGS PR Approval - DEPARTMENT: Managed Services &amp; Customer Support"/>
    <m/>
    <m/>
    <m/>
    <m/>
    <m/>
    <m/>
    <x v="0"/>
    <m/>
    <m/>
    <m/>
    <m/>
    <m/>
    <m/>
    <m/>
    <x v="0"/>
  </r>
  <r>
    <s v="PTP12"/>
    <s v="Managed Services &amp; Customer Support"/>
    <s v="Director / Senior Director"/>
    <s v="Step 1"/>
    <s v="&lt;=15K"/>
    <s v="Director / Senior Director will approve the PR"/>
    <m/>
    <x v="5"/>
    <m/>
    <m/>
    <m/>
    <m/>
    <m/>
    <m/>
    <s v="Workflow"/>
    <x v="2"/>
  </r>
  <r>
    <m/>
    <m/>
    <s v="SVP - Managed Services &amp; Customer Support"/>
    <s v="Step 1"/>
    <s v="&gt;15k to &lt;=50K"/>
    <s v="SVP - Managed Services &amp; Customer Support will approve the PR"/>
    <m/>
    <x v="5"/>
    <m/>
    <m/>
    <m/>
    <m/>
    <m/>
    <m/>
    <s v="Workflow"/>
    <x v="2"/>
  </r>
  <r>
    <m/>
    <m/>
    <s v="COO &amp;  CFO"/>
    <s v="Step 1"/>
    <s v="&gt;50K to &lt;=250K"/>
    <s v="COO &amp;  CFO will approve the PR"/>
    <m/>
    <x v="5"/>
    <m/>
    <m/>
    <m/>
    <m/>
    <m/>
    <m/>
    <s v="Workflow"/>
    <x v="2"/>
  </r>
  <r>
    <m/>
    <m/>
    <s v="CEO"/>
    <s v="Step 1"/>
    <s v="&gt;250K"/>
    <s v="CEO will approve the PR"/>
    <m/>
    <x v="5"/>
    <m/>
    <m/>
    <m/>
    <m/>
    <m/>
    <m/>
    <s v="Workflow"/>
    <x v="2"/>
  </r>
  <r>
    <s v="Procure to Pay: Non-COGS PR Approval - DEPARTMENT: DELIVERY"/>
    <m/>
    <m/>
    <m/>
    <m/>
    <m/>
    <m/>
    <x v="0"/>
    <m/>
    <m/>
    <m/>
    <m/>
    <m/>
    <m/>
    <m/>
    <x v="0"/>
  </r>
  <r>
    <s v="PTP13"/>
    <s v="Delivery"/>
    <s v="Senior Vice President &amp; Global Head of Delivery"/>
    <s v="Step 1"/>
    <s v="&lt;=50K"/>
    <s v="Senior Vice President &amp; Global Head of Delivery will approve the PR"/>
    <m/>
    <x v="5"/>
    <m/>
    <m/>
    <m/>
    <m/>
    <m/>
    <m/>
    <s v="Workflow"/>
    <x v="2"/>
  </r>
  <r>
    <m/>
    <m/>
    <s v="COO &amp;  CFO"/>
    <s v="Step 1"/>
    <s v="&gt;50K to &lt;=250K"/>
    <s v="COO &amp;  CFO will approve the PR"/>
    <m/>
    <x v="5"/>
    <m/>
    <m/>
    <m/>
    <m/>
    <m/>
    <m/>
    <s v="Workflow"/>
    <x v="2"/>
  </r>
  <r>
    <m/>
    <m/>
    <s v="CEO"/>
    <s v="Step 1"/>
    <s v="&gt;250K"/>
    <s v="CEO will approve the PR"/>
    <m/>
    <x v="5"/>
    <m/>
    <m/>
    <m/>
    <m/>
    <m/>
    <m/>
    <s v="Workflow"/>
    <x v="2"/>
  </r>
  <r>
    <s v="Procure to Pay: Non-COGS PR Approval - DEPARTMENT: LEGAL"/>
    <m/>
    <m/>
    <m/>
    <m/>
    <m/>
    <m/>
    <x v="0"/>
    <m/>
    <m/>
    <m/>
    <m/>
    <m/>
    <m/>
    <m/>
    <x v="0"/>
  </r>
  <r>
    <s v="PTP14"/>
    <s v="Legal"/>
    <s v="Director / Senior Director"/>
    <s v="Step 1"/>
    <s v="&lt;=15K"/>
    <s v="Director / Senior Director will approve the PR"/>
    <m/>
    <x v="5"/>
    <m/>
    <m/>
    <m/>
    <m/>
    <m/>
    <m/>
    <s v="Workflow"/>
    <x v="1"/>
  </r>
  <r>
    <m/>
    <m/>
    <s v="General Counsel"/>
    <s v="Step 1"/>
    <s v="&gt;15k to &lt;=50K"/>
    <s v="General Counsel will approve the PR"/>
    <m/>
    <x v="5"/>
    <m/>
    <m/>
    <m/>
    <m/>
    <m/>
    <m/>
    <s v="Workflow"/>
    <x v="1"/>
  </r>
  <r>
    <m/>
    <m/>
    <s v="COO &amp;  CFO"/>
    <s v="Step 1"/>
    <s v="&gt;50K to &lt;=250K"/>
    <s v="COO &amp;  CFO will approve the PR"/>
    <m/>
    <x v="5"/>
    <m/>
    <m/>
    <m/>
    <m/>
    <m/>
    <m/>
    <s v="Workflow"/>
    <x v="1"/>
  </r>
  <r>
    <m/>
    <m/>
    <s v="CEO"/>
    <s v="Step 1"/>
    <s v="&gt;250K"/>
    <s v="CEO will approve the PR"/>
    <m/>
    <x v="5"/>
    <m/>
    <m/>
    <m/>
    <m/>
    <m/>
    <m/>
    <s v="Workflow"/>
    <x v="1"/>
  </r>
  <r>
    <s v="Procure to Pay: Non-COGS PR Approval - DEPARTMENT: HR"/>
    <m/>
    <m/>
    <m/>
    <m/>
    <m/>
    <m/>
    <x v="0"/>
    <m/>
    <m/>
    <m/>
    <m/>
    <m/>
    <m/>
    <m/>
    <x v="0"/>
  </r>
  <r>
    <s v="PTP15"/>
    <s v="HR"/>
    <s v="Director / Senior Director"/>
    <s v="Step 1"/>
    <s v="&lt;=15K"/>
    <s v="Director / Senior Director will approve the PR"/>
    <m/>
    <x v="5"/>
    <m/>
    <m/>
    <m/>
    <m/>
    <m/>
    <m/>
    <s v="Workflow"/>
    <x v="2"/>
  </r>
  <r>
    <m/>
    <m/>
    <s v="VP / SVP"/>
    <s v="Step 1"/>
    <s v="&gt;15k to &lt;=50K"/>
    <s v="VP / SVP will approve the PR"/>
    <m/>
    <x v="5"/>
    <m/>
    <m/>
    <m/>
    <m/>
    <m/>
    <m/>
    <s v="Workflow"/>
    <x v="2"/>
  </r>
  <r>
    <m/>
    <m/>
    <s v="Chief HR Officer"/>
    <s v="Step 1"/>
    <s v="&gt;30k to &lt;=50K"/>
    <s v="Chief HR Officer"/>
    <m/>
    <x v="5"/>
    <m/>
    <m/>
    <m/>
    <m/>
    <m/>
    <m/>
    <s v="Workflow"/>
    <x v="2"/>
  </r>
  <r>
    <m/>
    <m/>
    <s v="COO &amp;  CFO"/>
    <s v="Step 1"/>
    <s v="&gt;50K to &lt;=250K"/>
    <s v="COO &amp;  CFO"/>
    <m/>
    <x v="5"/>
    <m/>
    <m/>
    <m/>
    <m/>
    <m/>
    <m/>
    <s v="Workflow"/>
    <x v="2"/>
  </r>
  <r>
    <m/>
    <m/>
    <s v="CEO"/>
    <s v="Step 1"/>
    <s v="&gt;250K"/>
    <s v="CEO"/>
    <m/>
    <x v="5"/>
    <m/>
    <m/>
    <m/>
    <m/>
    <m/>
    <m/>
    <s v="Workflow"/>
    <x v="2"/>
  </r>
  <r>
    <s v="Procure to Pay: Non-COGS PR Approval - DEPARTMENT: IT"/>
    <m/>
    <m/>
    <m/>
    <m/>
    <m/>
    <m/>
    <x v="0"/>
    <m/>
    <m/>
    <m/>
    <m/>
    <m/>
    <m/>
    <m/>
    <x v="0"/>
  </r>
  <r>
    <s v="PTP16"/>
    <s v="IT"/>
    <s v="Director / Senior Director"/>
    <s v="Step 1"/>
    <s v="&lt;=15K"/>
    <s v="Director / Senior Director"/>
    <m/>
    <x v="5"/>
    <m/>
    <m/>
    <m/>
    <m/>
    <m/>
    <m/>
    <s v="Workflow"/>
    <x v="1"/>
  </r>
  <r>
    <m/>
    <m/>
    <s v="Vice President - IT"/>
    <s v="Step 1"/>
    <s v="&gt;15k to &lt;=50K"/>
    <s v="Vice President - IT"/>
    <m/>
    <x v="5"/>
    <m/>
    <m/>
    <m/>
    <m/>
    <m/>
    <m/>
    <s v="Workflow"/>
    <x v="1"/>
  </r>
  <r>
    <m/>
    <m/>
    <s v="COO &amp;  CFO"/>
    <s v="Step 1"/>
    <s v="&gt;50K to &lt;=250K"/>
    <s v="COO &amp;  CFO"/>
    <m/>
    <x v="5"/>
    <m/>
    <m/>
    <m/>
    <m/>
    <m/>
    <m/>
    <s v="Workflow"/>
    <x v="1"/>
  </r>
  <r>
    <m/>
    <m/>
    <s v="CEO"/>
    <s v="Step 1"/>
    <s v="&gt;250K"/>
    <s v="CEO"/>
    <m/>
    <x v="5"/>
    <m/>
    <m/>
    <m/>
    <m/>
    <m/>
    <m/>
    <s v="Workflow"/>
    <x v="1"/>
  </r>
  <r>
    <s v="Procure to Pay: Non-COGS PR Approval - DEPARTMENT: ACCOUNTING"/>
    <m/>
    <m/>
    <m/>
    <m/>
    <m/>
    <m/>
    <x v="0"/>
    <m/>
    <m/>
    <m/>
    <m/>
    <m/>
    <m/>
    <m/>
    <x v="0"/>
  </r>
  <r>
    <s v="PTP17"/>
    <s v="Accounting"/>
    <s v="Corporate Controller"/>
    <s v="Step 1"/>
    <s v="&lt;=30K"/>
    <s v="Corporate Controller"/>
    <m/>
    <x v="5"/>
    <m/>
    <m/>
    <m/>
    <m/>
    <m/>
    <m/>
    <s v="Workflow"/>
    <x v="2"/>
  </r>
  <r>
    <m/>
    <m/>
    <s v="Chief Accounting Officer"/>
    <s v="Step 1"/>
    <s v="&gt;30k to &lt;=50K"/>
    <s v="Chief Accounting Officer"/>
    <m/>
    <x v="5"/>
    <m/>
    <m/>
    <m/>
    <m/>
    <m/>
    <m/>
    <s v="Workflow"/>
    <x v="2"/>
  </r>
  <r>
    <m/>
    <m/>
    <s v="COO &amp;  CFO"/>
    <s v="Step 1"/>
    <s v="&gt;50K to &lt;=250K"/>
    <s v="COO &amp;  CFO"/>
    <m/>
    <x v="5"/>
    <m/>
    <m/>
    <m/>
    <m/>
    <m/>
    <m/>
    <s v="Workflow"/>
    <x v="2"/>
  </r>
  <r>
    <m/>
    <m/>
    <s v="CEO"/>
    <s v="Step 1"/>
    <s v="&gt;250K"/>
    <s v="CEO"/>
    <m/>
    <x v="5"/>
    <m/>
    <m/>
    <m/>
    <m/>
    <m/>
    <m/>
    <s v="Workflow"/>
    <x v="2"/>
  </r>
  <r>
    <s v="Procure to Pay: Non-COGS PR Approval - DEPARTMENT: TAX"/>
    <m/>
    <m/>
    <m/>
    <m/>
    <m/>
    <m/>
    <x v="0"/>
    <m/>
    <m/>
    <m/>
    <m/>
    <m/>
    <m/>
    <m/>
    <x v="0"/>
  </r>
  <r>
    <s v="PTP18"/>
    <s v="Tax"/>
    <s v="VP / SVP"/>
    <s v="Step 1"/>
    <s v="&lt;=30K"/>
    <s v="VP / SVP"/>
    <m/>
    <x v="5"/>
    <m/>
    <m/>
    <m/>
    <m/>
    <m/>
    <m/>
    <s v="Workflow"/>
    <x v="2"/>
  </r>
  <r>
    <m/>
    <m/>
    <s v="Chief Accounting Officer"/>
    <s v="Step 1"/>
    <s v="&gt;30k to &lt;=50K"/>
    <s v="Chief Accounting Officer"/>
    <m/>
    <x v="5"/>
    <m/>
    <m/>
    <m/>
    <m/>
    <m/>
    <m/>
    <s v="Workflow"/>
    <x v="2"/>
  </r>
  <r>
    <m/>
    <m/>
    <s v="COO &amp;  CFO"/>
    <s v="Step 1"/>
    <s v="&gt;50K to &lt;=250K"/>
    <s v="COO &amp;  CFO"/>
    <m/>
    <x v="5"/>
    <m/>
    <m/>
    <m/>
    <m/>
    <m/>
    <m/>
    <s v="Workflow"/>
    <x v="2"/>
  </r>
  <r>
    <m/>
    <m/>
    <s v="CEO"/>
    <s v="Step 1"/>
    <s v="&gt;250K"/>
    <s v="CEO"/>
    <m/>
    <x v="5"/>
    <m/>
    <m/>
    <m/>
    <m/>
    <m/>
    <m/>
    <s v="Workflow"/>
    <x v="2"/>
  </r>
  <r>
    <s v="Procure to Pay: Non-COGS PR Approval - DEPARTMENT: FACILITIES &amp; FPA"/>
    <m/>
    <m/>
    <m/>
    <m/>
    <m/>
    <m/>
    <x v="0"/>
    <m/>
    <m/>
    <m/>
    <m/>
    <m/>
    <m/>
    <m/>
    <x v="0"/>
  </r>
  <r>
    <s v="PTP19"/>
    <s v="Facilities &amp; FPA"/>
    <s v="Director / Senior Director"/>
    <s v="Step 1"/>
    <s v="&lt;=15K"/>
    <s v="Director / Senior Director"/>
    <m/>
    <x v="5"/>
    <m/>
    <m/>
    <m/>
    <m/>
    <m/>
    <m/>
    <s v="Workflow"/>
    <x v="1"/>
  </r>
  <r>
    <m/>
    <m/>
    <s v="VP / SVP"/>
    <s v="Step 1"/>
    <s v="&gt;15k to &lt;=50K"/>
    <s v="VP / SVP"/>
    <m/>
    <x v="5"/>
    <m/>
    <m/>
    <m/>
    <m/>
    <m/>
    <m/>
    <s v="Workflow"/>
    <x v="1"/>
  </r>
  <r>
    <m/>
    <m/>
    <s v="COO &amp;  CFO"/>
    <s v="Step 1"/>
    <s v="&gt;50K to &lt;=250K"/>
    <s v="COO &amp;  CFO"/>
    <m/>
    <x v="5"/>
    <m/>
    <m/>
    <m/>
    <m/>
    <m/>
    <m/>
    <s v="Workflow"/>
    <x v="1"/>
  </r>
  <r>
    <m/>
    <m/>
    <s v="CEO"/>
    <s v="Step 1"/>
    <s v="&gt;250K"/>
    <s v="CEO"/>
    <m/>
    <x v="5"/>
    <m/>
    <m/>
    <m/>
    <m/>
    <m/>
    <m/>
    <s v="Workflow"/>
    <x v="1"/>
  </r>
  <r>
    <s v="Procure to Pay: Non-COGS PR Approval - DEPARTMENT: COMPLIANCE"/>
    <m/>
    <m/>
    <m/>
    <m/>
    <m/>
    <m/>
    <x v="0"/>
    <m/>
    <m/>
    <m/>
    <m/>
    <m/>
    <m/>
    <m/>
    <x v="0"/>
  </r>
  <r>
    <s v="PTP20"/>
    <s v="Compliance"/>
    <s v="Chief Compliance Officer"/>
    <s v="Step 1"/>
    <s v="&lt;=50K"/>
    <s v="Chief Compliance Officer"/>
    <m/>
    <x v="5"/>
    <m/>
    <m/>
    <m/>
    <m/>
    <m/>
    <m/>
    <s v="Workflow"/>
    <x v="2"/>
  </r>
  <r>
    <m/>
    <m/>
    <s v="COO &amp;  CFO"/>
    <s v="Step 1"/>
    <s v="&gt;50K to &lt;=250K"/>
    <s v="COO &amp;  CFO"/>
    <m/>
    <x v="5"/>
    <m/>
    <m/>
    <m/>
    <m/>
    <m/>
    <m/>
    <s v="Workflow"/>
    <x v="2"/>
  </r>
  <r>
    <m/>
    <m/>
    <s v="CEO"/>
    <s v="Step 1"/>
    <s v="&gt;250K"/>
    <s v="CEO"/>
    <m/>
    <x v="5"/>
    <m/>
    <m/>
    <m/>
    <m/>
    <m/>
    <m/>
    <s v="Workflow"/>
    <x v="2"/>
  </r>
  <r>
    <s v="Procure to Pay: Non-COGS PR Approval - DEPARTMENT: ENGINEERING"/>
    <m/>
    <m/>
    <m/>
    <m/>
    <m/>
    <m/>
    <x v="0"/>
    <m/>
    <m/>
    <m/>
    <m/>
    <m/>
    <m/>
    <m/>
    <x v="0"/>
  </r>
  <r>
    <s v="PTP21"/>
    <s v="Engineering"/>
    <s v="Director / Senior Director"/>
    <s v="Step 1"/>
    <s v="&lt;=15K"/>
    <s v="Director / Senior Director"/>
    <m/>
    <x v="5"/>
    <m/>
    <m/>
    <m/>
    <m/>
    <m/>
    <m/>
    <s v="Workflow"/>
    <x v="2"/>
  </r>
  <r>
    <m/>
    <m/>
    <s v="VP / SVP"/>
    <s v="Step 1"/>
    <s v="&gt;15k to &lt;=30K"/>
    <s v="VP / SVP"/>
    <m/>
    <x v="5"/>
    <m/>
    <m/>
    <m/>
    <m/>
    <m/>
    <m/>
    <s v="Workflow"/>
    <x v="2"/>
  </r>
  <r>
    <m/>
    <m/>
    <s v="CTO or SVP - Global Head of Engineering"/>
    <s v="Step 1"/>
    <s v="&gt;30k to &lt;=50K"/>
    <s v="CTO or SVP - Global Head of Engineering"/>
    <m/>
    <x v="5"/>
    <m/>
    <m/>
    <m/>
    <m/>
    <m/>
    <m/>
    <s v="Workflow"/>
    <x v="2"/>
  </r>
  <r>
    <m/>
    <m/>
    <s v="COO &amp;  CFO"/>
    <s v="Step 1"/>
    <s v="&gt;50K to &lt;=250K"/>
    <s v="COO &amp;  CFO"/>
    <m/>
    <x v="5"/>
    <m/>
    <m/>
    <m/>
    <m/>
    <m/>
    <m/>
    <s v="Workflow"/>
    <x v="2"/>
  </r>
  <r>
    <m/>
    <m/>
    <s v="CEO"/>
    <s v="Step 1"/>
    <s v="&gt;250K"/>
    <s v="CEO"/>
    <m/>
    <x v="5"/>
    <m/>
    <m/>
    <m/>
    <m/>
    <m/>
    <m/>
    <s v="Workflow"/>
    <x v="2"/>
  </r>
  <r>
    <s v="Procure to Pay: Non-COGS PR Approval - DEPARTMENT: SALES"/>
    <m/>
    <m/>
    <m/>
    <m/>
    <m/>
    <m/>
    <x v="0"/>
    <m/>
    <m/>
    <m/>
    <m/>
    <m/>
    <m/>
    <m/>
    <x v="0"/>
  </r>
  <r>
    <s v="PTP22"/>
    <s v="Sales"/>
    <s v="Director / Senior Director"/>
    <s v="Step 1"/>
    <s v="&lt;=15K"/>
    <s v="Director / Senior Director"/>
    <m/>
    <x v="5"/>
    <m/>
    <m/>
    <m/>
    <m/>
    <m/>
    <m/>
    <s v="Workflow"/>
    <x v="2"/>
  </r>
  <r>
    <m/>
    <m/>
    <s v="VP / SVP"/>
    <s v="Step 1"/>
    <s v="&gt;15k to &lt;=30K"/>
    <s v="VP / SVP"/>
    <m/>
    <x v="5"/>
    <m/>
    <m/>
    <m/>
    <m/>
    <m/>
    <m/>
    <s v="Workflow"/>
    <x v="2"/>
  </r>
  <r>
    <m/>
    <m/>
    <s v="Chief Revenue Officer"/>
    <s v="Step 1"/>
    <s v="&gt;30k to &lt;=50K"/>
    <s v="Chief Revenue Officer"/>
    <m/>
    <x v="5"/>
    <m/>
    <m/>
    <m/>
    <m/>
    <m/>
    <m/>
    <s v="Workflow"/>
    <x v="2"/>
  </r>
  <r>
    <m/>
    <m/>
    <s v="COO &amp;  CFO"/>
    <s v="Step 1"/>
    <s v="&gt;50K to &lt;=250K"/>
    <s v="COO &amp;  CFO"/>
    <m/>
    <x v="5"/>
    <m/>
    <m/>
    <m/>
    <m/>
    <m/>
    <m/>
    <s v="Workflow"/>
    <x v="2"/>
  </r>
  <r>
    <m/>
    <m/>
    <s v="CEO"/>
    <s v="Step 1"/>
    <s v="&gt;250K"/>
    <s v="CEO"/>
    <m/>
    <x v="5"/>
    <m/>
    <m/>
    <m/>
    <m/>
    <m/>
    <m/>
    <s v="Workflow"/>
    <x v="2"/>
  </r>
  <r>
    <s v="Procure to Pay: Non-COGS PR Approval - DEPARTMENT: MARKETING"/>
    <m/>
    <m/>
    <m/>
    <m/>
    <m/>
    <m/>
    <x v="0"/>
    <m/>
    <m/>
    <m/>
    <m/>
    <m/>
    <m/>
    <m/>
    <x v="0"/>
  </r>
  <r>
    <s v="PTP23"/>
    <s v="Marketing"/>
    <s v="Chief Marketing Officer"/>
    <s v="Step 1"/>
    <s v="&lt;=50K"/>
    <s v="Chief Marketing Officer"/>
    <m/>
    <x v="5"/>
    <m/>
    <m/>
    <m/>
    <m/>
    <m/>
    <m/>
    <s v="Workflow"/>
    <x v="2"/>
  </r>
  <r>
    <m/>
    <m/>
    <s v="COO &amp;  CFO"/>
    <s v="Step 1"/>
    <s v="&gt;50K to &lt;=250K"/>
    <s v="COO &amp;  CFO"/>
    <m/>
    <x v="5"/>
    <m/>
    <m/>
    <m/>
    <m/>
    <m/>
    <m/>
    <s v="Workflow"/>
    <x v="2"/>
  </r>
  <r>
    <m/>
    <m/>
    <s v="CEO"/>
    <s v="Step 1"/>
    <s v="&gt;250K"/>
    <s v="CEO"/>
    <m/>
    <x v="5"/>
    <m/>
    <m/>
    <m/>
    <m/>
    <m/>
    <m/>
    <s v="Workflow"/>
    <x v="2"/>
  </r>
  <r>
    <s v="Procure to Pay: Non-COGS PR Approval - DEPARTMENT: PRODUCT MANAGEMENT - NO RISK"/>
    <m/>
    <m/>
    <m/>
    <m/>
    <m/>
    <m/>
    <x v="0"/>
    <m/>
    <m/>
    <m/>
    <m/>
    <m/>
    <m/>
    <m/>
    <x v="0"/>
  </r>
  <r>
    <s v="PTP24"/>
    <s v="Product Management - No Risk"/>
    <s v="Director / Senior Director"/>
    <s v="Step 1"/>
    <s v="&lt;=15K"/>
    <s v="Director / Senior Director"/>
    <m/>
    <x v="5"/>
    <m/>
    <m/>
    <m/>
    <m/>
    <m/>
    <m/>
    <s v="Workflow"/>
    <x v="2"/>
  </r>
  <r>
    <m/>
    <m/>
    <s v="VP / SVP"/>
    <s v="Step 1"/>
    <s v="&gt;15k to &lt;=30K"/>
    <s v="VP / SVP"/>
    <m/>
    <x v="5"/>
    <m/>
    <m/>
    <m/>
    <m/>
    <m/>
    <m/>
    <s v="Workflow"/>
    <x v="2"/>
  </r>
  <r>
    <m/>
    <m/>
    <s v="Chief Product Manager"/>
    <s v="Step 1"/>
    <s v="&gt;30k to &lt;=50K"/>
    <s v="Chief Product Manager"/>
    <m/>
    <x v="5"/>
    <m/>
    <m/>
    <m/>
    <m/>
    <m/>
    <m/>
    <s v="Workflow"/>
    <x v="2"/>
  </r>
  <r>
    <m/>
    <m/>
    <s v="COO &amp;  CFO"/>
    <s v="Step 1"/>
    <s v="&gt;50K to &lt;=250K"/>
    <s v="COO &amp;  CFO"/>
    <m/>
    <x v="5"/>
    <m/>
    <m/>
    <m/>
    <m/>
    <m/>
    <m/>
    <s v="Workflow"/>
    <x v="2"/>
  </r>
  <r>
    <m/>
    <m/>
    <s v="CEO"/>
    <s v="Step 1"/>
    <s v="&gt;250K"/>
    <s v="CEO"/>
    <m/>
    <x v="5"/>
    <m/>
    <m/>
    <m/>
    <m/>
    <m/>
    <m/>
    <s v="Workflow"/>
    <x v="2"/>
  </r>
  <r>
    <s v="Procure to Pay: Non-COGS PR Approval - DEPARTMENT: PRODUCT MANAGEMENT - RISK"/>
    <m/>
    <m/>
    <m/>
    <m/>
    <m/>
    <m/>
    <x v="0"/>
    <m/>
    <m/>
    <m/>
    <m/>
    <m/>
    <m/>
    <m/>
    <x v="0"/>
  </r>
  <r>
    <s v="PTP25"/>
    <s v="Product Management - Risk"/>
    <s v="Director / Senior Director"/>
    <s v="Step 1"/>
    <s v="&lt;=15K"/>
    <s v="Director / Senior Director"/>
    <m/>
    <x v="5"/>
    <m/>
    <m/>
    <m/>
    <m/>
    <m/>
    <m/>
    <s v="Workflow"/>
    <x v="2"/>
  </r>
  <r>
    <m/>
    <m/>
    <s v="SVP &amp; Global Head - Risk"/>
    <s v="Step 1"/>
    <s v="&gt;15k to &lt;=50K"/>
    <s v="SVP &amp; Global Head - Risk"/>
    <m/>
    <x v="5"/>
    <m/>
    <m/>
    <m/>
    <m/>
    <m/>
    <m/>
    <s v="Workflow"/>
    <x v="2"/>
  </r>
  <r>
    <m/>
    <m/>
    <s v="COO &amp;  CFO"/>
    <s v="Step 1"/>
    <s v="&gt;50K to &lt;=250K"/>
    <s v="COO &amp;  CFO"/>
    <m/>
    <x v="5"/>
    <m/>
    <m/>
    <m/>
    <m/>
    <m/>
    <m/>
    <s v="Workflow"/>
    <x v="2"/>
  </r>
  <r>
    <m/>
    <m/>
    <s v="CEO"/>
    <s v="Step 1"/>
    <s v="&gt;250K"/>
    <s v="CEO"/>
    <m/>
    <x v="5"/>
    <m/>
    <m/>
    <m/>
    <m/>
    <m/>
    <m/>
    <s v="Workflow"/>
    <x v="2"/>
  </r>
  <r>
    <s v="PTP26"/>
    <s v="Budget Validation"/>
    <s v="Department Approver_x000a_CFO"/>
    <s v="Step 1"/>
    <s v="Amount threshold;_x000a_Budget - not Available_x000a_Payment Term -  matches"/>
    <s v="Department Approver based on the Amount threshold&amp; CFO will approve the PR"/>
    <m/>
    <x v="1"/>
    <m/>
    <m/>
    <m/>
    <m/>
    <m/>
    <m/>
    <s v="Script"/>
    <x v="3"/>
  </r>
  <r>
    <s v="PTP27"/>
    <s v="Payment Term Validation"/>
    <s v="Department Approver_x000a_Corporate Controller"/>
    <s v="Step 1"/>
    <s v="Amount threshold;_x000a_Budget - Available_x000a_Payment Term - not matches &amp; Amount &lt;=10K"/>
    <s v="Department Approver &amp; Corporate Controller  will approve the PR"/>
    <m/>
    <x v="5"/>
    <m/>
    <m/>
    <m/>
    <m/>
    <m/>
    <m/>
    <s v="Workflow"/>
    <x v="2"/>
  </r>
  <r>
    <s v="PTP28"/>
    <s v="Payment Term Validation"/>
    <s v="Department Approver_x000a_Chief Accounting Officer"/>
    <s v="Step 1"/>
    <s v="Amount threshold;_x000a_Budget - Available_x000a_Payment Term - not matches &amp; Amount = 10K &amp; 50K"/>
    <s v="Department Approver &amp; Chief Accounting Officer  will approve the PR"/>
    <m/>
    <x v="5"/>
    <m/>
    <m/>
    <m/>
    <m/>
    <m/>
    <m/>
    <s v="Workflow"/>
    <x v="2"/>
  </r>
  <r>
    <s v="PTP29"/>
    <s v="Payment Term Validation"/>
    <s v="Department Approver_x000a_COO /  CFO"/>
    <s v="Step 1"/>
    <s v="Amount threshold;_x000a_Budget - Available_x000a_Payment Term - not matches &amp; Amount &gt;= 50K"/>
    <s v="Department Approver &amp; COO / CFO  will approve the PR"/>
    <m/>
    <x v="5"/>
    <m/>
    <m/>
    <m/>
    <m/>
    <m/>
    <m/>
    <s v="Workflow"/>
    <x v="2"/>
  </r>
  <r>
    <s v="PTP30"/>
    <s v="Payment Term Validation"/>
    <s v="Department Approver_x000a_COO /  CFO"/>
    <s v="Step 1"/>
    <s v="Amount threshold;_x000a_Budget - Available_x000a_Payment Term - not matches &amp; Prepayment Amount &gt;= 5K"/>
    <s v="Department Approver &amp; COO / CFO  will approve the PR"/>
    <m/>
    <x v="5"/>
    <m/>
    <m/>
    <m/>
    <m/>
    <m/>
    <m/>
    <s v="Workflow"/>
    <x v="2"/>
  </r>
  <r>
    <s v="PTP31"/>
    <s v="Budget &amp; Payment Term Validation"/>
    <s v="Department Approver_x000a_COO / CFO  "/>
    <s v="Step 1"/>
    <s v="Amount threshold;_x000a_Budget - not Available_x000a_Payment Term - not matches &amp; Amount &lt;=10K"/>
    <s v="Department Approver, CFO, Corporate Controller will approve the PR"/>
    <m/>
    <x v="5"/>
    <m/>
    <m/>
    <m/>
    <m/>
    <m/>
    <m/>
    <s v="Workflow"/>
    <x v="2"/>
  </r>
  <r>
    <s v="PTP32"/>
    <s v="Budget &amp; Payment Term Validation"/>
    <s v="Department Approver_x000a_CFO_x000a_Corporate Controller "/>
    <s v="Step 1"/>
    <s v="Amount threshold;_x000a_Budget - not Available_x000a_Payment Term - not matches &amp; Amount = 10K &amp; 50K"/>
    <s v="Department Approver, CFO, Chief Accounting Officer will approve the PR"/>
    <m/>
    <x v="5"/>
    <m/>
    <m/>
    <m/>
    <m/>
    <m/>
    <m/>
    <s v="Workflow"/>
    <x v="2"/>
  </r>
  <r>
    <s v="PTP33"/>
    <s v="Budget &amp; Payment Term Validation"/>
    <s v="Department Approver_x000a_CFO_x000a_Chief Accounting Officer "/>
    <s v="Step 1"/>
    <s v="Amount threshold;_x000a_Budget - not Available_x000a_Payment Term - not matches &amp; Amount &gt;= 50K"/>
    <s v="Department Approver, CFO, COO will approve the PR"/>
    <m/>
    <x v="5"/>
    <m/>
    <m/>
    <m/>
    <m/>
    <m/>
    <m/>
    <s v="Workflow"/>
    <x v="2"/>
  </r>
  <r>
    <s v="PTP34"/>
    <s v="Prepayment Validation"/>
    <s v=" COO "/>
    <s v="Step 1"/>
    <s v="Prepayment &gt;=5K"/>
    <s v="Along with other approval, CFO  will approve the PR"/>
    <m/>
    <x v="5"/>
    <m/>
    <m/>
    <m/>
    <m/>
    <m/>
    <m/>
    <s v="Workflow"/>
    <x v="2"/>
  </r>
  <r>
    <s v="Procure to Pay: Non-COGS PR Approval - REJECTION"/>
    <m/>
    <m/>
    <m/>
    <m/>
    <m/>
    <m/>
    <x v="0"/>
    <m/>
    <m/>
    <m/>
    <m/>
    <m/>
    <m/>
    <m/>
    <x v="0"/>
  </r>
  <r>
    <s v="PTP31"/>
    <s v="Rejection"/>
    <m/>
    <s v="Step 1"/>
    <s v="Rejection"/>
    <s v="If the PR is rejected at any level, Creator will review the rejection reason and work on it and resubmit the PR for approval"/>
    <m/>
    <x v="5"/>
    <m/>
    <m/>
    <m/>
    <m/>
    <m/>
    <m/>
    <s v="Script"/>
    <x v="2"/>
  </r>
  <r>
    <m/>
    <m/>
    <m/>
    <m/>
    <m/>
    <s v="When the resubmit button is triggered, it will be routed from the beginning for the reapproval"/>
    <m/>
    <x v="5"/>
    <m/>
    <m/>
    <m/>
    <m/>
    <m/>
    <m/>
    <m/>
    <x v="2"/>
  </r>
  <r>
    <s v="Procure to Pay: Create Purchase Order"/>
    <m/>
    <m/>
    <m/>
    <m/>
    <m/>
    <m/>
    <x v="0"/>
    <m/>
    <m/>
    <m/>
    <m/>
    <m/>
    <m/>
    <m/>
    <x v="0"/>
  </r>
  <r>
    <s v="PTP32"/>
    <s v="Create Purchase Order"/>
    <s v="SCM Analyst"/>
    <s v="Step 1"/>
    <s v="COGS &amp; Non-COGS Purchase Order"/>
    <s v=" Once the PR is approved, SCM Analyst team reviews the approved PR and proposes into PO"/>
    <m/>
    <x v="4"/>
    <m/>
    <m/>
    <m/>
    <m/>
    <m/>
    <m/>
    <s v="OOB"/>
    <x v="1"/>
  </r>
  <r>
    <m/>
    <m/>
    <m/>
    <s v="Step 2"/>
    <m/>
    <s v="Navigation: "/>
    <m/>
    <x v="4"/>
    <m/>
    <m/>
    <m/>
    <m/>
    <m/>
    <m/>
    <s v="OOB"/>
    <x v="1"/>
  </r>
  <r>
    <m/>
    <m/>
    <m/>
    <s v="Step 3"/>
    <m/>
    <s v="1. Add the vendor name and amount._x000a_2. Mark all the PRs to be proposed to the Purchase Order_x000a_3. Then click on Submit button to create the Purchase Order"/>
    <s v="PO is created successfully and PO number is generated"/>
    <x v="4"/>
    <m/>
    <m/>
    <m/>
    <m/>
    <m/>
    <m/>
    <s v="OOB"/>
    <x v="1"/>
  </r>
  <r>
    <m/>
    <m/>
    <m/>
    <s v="Step 4"/>
    <m/>
    <s v="SCM team can edit and add the other information and attach the file if there are any"/>
    <m/>
    <x v="4"/>
    <m/>
    <m/>
    <m/>
    <m/>
    <m/>
    <m/>
    <s v="OOB"/>
    <x v="1"/>
  </r>
  <r>
    <m/>
    <m/>
    <m/>
    <s v="Step 5"/>
    <m/>
    <s v="Taxes are calculated in the PO"/>
    <s v="Check if the Taxes are calculated"/>
    <x v="4"/>
    <m/>
    <m/>
    <m/>
    <m/>
    <m/>
    <m/>
    <s v="OOB"/>
    <x v="1"/>
  </r>
  <r>
    <m/>
    <m/>
    <m/>
    <s v="Step 6"/>
    <m/>
    <s v=" If there are any changes in amount and department after the PO is generated, the PO and PR needs to be cancelled, and the new PR needs to be created. "/>
    <m/>
    <x v="4"/>
    <m/>
    <m/>
    <m/>
    <m/>
    <m/>
    <m/>
    <s v="OOB"/>
    <x v="1"/>
  </r>
  <r>
    <s v="PTP33"/>
    <m/>
    <s v="Purchasing Team"/>
    <s v="Step 1"/>
    <s v="Purchase Order- 12Months"/>
    <s v="Navigation: "/>
    <m/>
    <x v="4"/>
    <m/>
    <m/>
    <m/>
    <m/>
    <m/>
    <m/>
    <s v="OOB"/>
    <x v="1"/>
  </r>
  <r>
    <m/>
    <m/>
    <m/>
    <s v="Step 2"/>
    <m/>
    <s v="1. To create the Purchase Order, enter the Vendor name, Subsidiary, currency, Items, quantity, rate, Department, Class, location, Order Types._x000a_2. Attach the files if there are any_x000a_3. then click on the Save button to save the transaction"/>
    <s v="PO is created successfully and PO number is generated"/>
    <x v="4"/>
    <m/>
    <m/>
    <m/>
    <m/>
    <s v="https://3657373-sb1.app.netsuite.com/app/accounting/transactions/purchord.nl?id=7701&amp;whence=&amp;cmid=1769605488606_6012"/>
    <m/>
    <s v="OOB"/>
    <x v="1"/>
  </r>
  <r>
    <m/>
    <m/>
    <m/>
    <s v="Step 3"/>
    <m/>
    <s v="For Blanket PO, there should be 12 lines for each month"/>
    <m/>
    <x v="4"/>
    <m/>
    <m/>
    <m/>
    <m/>
    <m/>
    <m/>
    <s v="OOB"/>
    <x v="1"/>
  </r>
  <r>
    <s v="Procure to Pay: Item Receipt"/>
    <m/>
    <m/>
    <m/>
    <m/>
    <m/>
    <m/>
    <x v="0"/>
    <m/>
    <m/>
    <m/>
    <m/>
    <m/>
    <m/>
    <m/>
    <x v="0"/>
  </r>
  <r>
    <s v="PTP34"/>
    <s v="Item Receipt"/>
    <s v="Purchasing Team"/>
    <s v="Step 1"/>
    <s v="COGS Item Receipt"/>
    <s v="Navigation: "/>
    <s v="Transactions &gt; Purchases &gt; Receive Orders"/>
    <x v="4"/>
    <m/>
    <m/>
    <m/>
    <m/>
    <m/>
    <m/>
    <s v="OOB"/>
    <x v="1"/>
  </r>
  <r>
    <m/>
    <m/>
    <m/>
    <s v="Step 2"/>
    <m/>
    <s v="1. Click on &quot;Receive&quot; button to receive the items_x000a_2. Enter the quantity to receive, product serial number, warranty dates, subscription dates, and software support end date if there are any_x000a_3. Click on Save button to save the transaction"/>
    <s v="1. Item Receipt is created successfully_x000a_2. GL Impact: DB: Deferred COGS and CR: Accrued Liability"/>
    <x v="4"/>
    <s v="Pass"/>
    <m/>
    <m/>
    <m/>
    <s v="IR22"/>
    <m/>
    <s v="OOB"/>
    <x v="1"/>
  </r>
  <r>
    <m/>
    <m/>
    <s v="Finance Analyst"/>
    <s v="Step 3"/>
    <m/>
    <s v="As a month end process, the finance team will create the Journal Entry manually in NetSuite to post the amount from the Deferred COGS to the Actual COGS month on month. "/>
    <s v="1. Journal Entry is created successfully_x000a_2. GL Impact: DB: Actual COGS; CR: Deferrd COGS"/>
    <x v="4"/>
    <m/>
    <m/>
    <m/>
    <m/>
    <m/>
    <m/>
    <s v="OOB"/>
    <x v="1"/>
  </r>
  <r>
    <s v="Procure to Pay: Vendor Bill"/>
    <m/>
    <m/>
    <m/>
    <m/>
    <m/>
    <m/>
    <x v="0"/>
    <m/>
    <m/>
    <m/>
    <m/>
    <m/>
    <m/>
    <m/>
    <x v="0"/>
  </r>
  <r>
    <s v="Procure to Pay: PO Vendor Bill"/>
    <m/>
    <m/>
    <m/>
    <m/>
    <m/>
    <m/>
    <x v="0"/>
    <m/>
    <m/>
    <m/>
    <m/>
    <m/>
    <m/>
    <m/>
    <x v="0"/>
  </r>
  <r>
    <s v="PTP35"/>
    <s v="PO Vendor Bill"/>
    <s v="Finance Analyst"/>
    <s v="Step 1"/>
    <s v="PO Vendor Bill"/>
    <s v="Navigation: "/>
    <m/>
    <x v="0"/>
    <m/>
    <m/>
    <m/>
    <m/>
    <m/>
    <m/>
    <m/>
    <x v="0"/>
  </r>
  <r>
    <m/>
    <m/>
    <s v="Finance Analyst"/>
    <s v="Step 2"/>
    <m/>
    <s v="1. Click on Bill button from the Purchase Order_x000a_2. All the information like vendor name, location, rate, Subsidiary, currency, date, and posting period will be automatically populated. _x000a_3. Enter other information and attach the file if there are any_x000a_4. Provide the reference number and save the record"/>
    <s v="1. Vendor Bill is created successfully in the Pending Approval status"/>
    <x v="4"/>
    <m/>
    <m/>
    <m/>
    <m/>
    <m/>
    <m/>
    <s v="OOB"/>
    <x v="1"/>
  </r>
  <r>
    <m/>
    <m/>
    <s v="Finance Analyst"/>
    <s v="Step 3"/>
    <m/>
    <s v="Once the vendor bill is saved, it is routed to 3 way matching approval"/>
    <m/>
    <x v="4"/>
    <m/>
    <m/>
    <m/>
    <m/>
    <m/>
    <m/>
    <s v="OOB"/>
    <x v="1"/>
  </r>
  <r>
    <s v="PTP36"/>
    <m/>
    <s v="Supervisor"/>
    <s v="Step 1"/>
    <s v="Approval - 3 Way Match"/>
    <s v="If the quantity, amount and location of the Purchase Order, GRN and Vendor Invoice are same, the Vendor Bill is auto approved. "/>
    <s v="Check if the Quantity, Amount and Location in PO, IR and VB are same"/>
    <x v="4"/>
    <m/>
    <m/>
    <m/>
    <m/>
    <s v="CRP testing 016"/>
    <m/>
    <s v="OOB"/>
    <x v="1"/>
  </r>
  <r>
    <m/>
    <m/>
    <m/>
    <s v="Step 2"/>
    <m/>
    <s v="If there are any discrepancies in the quantity, amount and location of the Purchase Order, GRN and Vendor Invoice, then Vendor Invoice is routed to Supervisor for the approval. "/>
    <s v="Check if the Quantity, Amount and Location in PO, IR and VB are same"/>
    <x v="4"/>
    <m/>
    <m/>
    <m/>
    <m/>
    <s v="CRP Testing 015"/>
    <m/>
    <s v="OOB"/>
    <x v="1"/>
  </r>
  <r>
    <m/>
    <m/>
    <m/>
    <s v="Step 3"/>
    <m/>
    <s v="Once the Supervisor approve the Vendor Invoice, it will be posted "/>
    <m/>
    <x v="4"/>
    <m/>
    <m/>
    <m/>
    <m/>
    <m/>
    <m/>
    <s v="OOB"/>
    <x v="1"/>
  </r>
  <r>
    <m/>
    <m/>
    <m/>
    <s v="Step 4"/>
    <m/>
    <s v="Once the Invoice is approved and posted, the date on which on the invoice is posted will be captured in the Posting Date field (custom field) and the Payment Hold checkbox will be checked."/>
    <s v="Check if the Posting Date (approved date) is captured"/>
    <x v="4"/>
    <m/>
    <m/>
    <m/>
    <m/>
    <s v="CRP testing 030"/>
    <m/>
    <s v="OOB"/>
    <x v="1"/>
  </r>
  <r>
    <m/>
    <m/>
    <m/>
    <s v="Step 5"/>
    <m/>
    <s v="If the Vendor bill is rejected by Supervisor, then the Creator needs to make the changes and resubmit the bill"/>
    <m/>
    <x v="4"/>
    <m/>
    <m/>
    <m/>
    <m/>
    <s v="CRP testing 31"/>
    <m/>
    <s v="OOB"/>
    <x v="1"/>
  </r>
  <r>
    <s v="Procure to Pay: Landed Cost Vendor Bill"/>
    <m/>
    <m/>
    <m/>
    <m/>
    <m/>
    <m/>
    <x v="0"/>
    <m/>
    <m/>
    <m/>
    <m/>
    <m/>
    <m/>
    <m/>
    <x v="0"/>
  </r>
  <r>
    <s v="PTP37"/>
    <s v="Landed Cost Vendor Bill"/>
    <s v="Finance Analyst"/>
    <s v="Step 1"/>
    <s v="Landed Cost Vendor Bill"/>
    <s v="Navigation: "/>
    <s v="Transactions &gt; Payable &gt; Enter bills"/>
    <x v="4"/>
    <s v="Pass"/>
    <m/>
    <m/>
    <m/>
    <m/>
    <m/>
    <s v="OOB"/>
    <x v="1"/>
  </r>
  <r>
    <m/>
    <m/>
    <m/>
    <s v="Step 2"/>
    <m/>
    <s v="1. To create the vendor bill enter the Reference Number, Vendor name, location, and rate. Subsidiary, currency, date, and posting period will be automatically populated. _x000a_2. Select Department, Class and location under segmentation._x000a_3. Under the Expenses and Items subtab select Items, Department, Class, and Amount and landed cost category._x000a_4. Then click on the save button to save this transaction._x000a_"/>
    <s v="Vendor Bill is successfully created in Pending Approval status"/>
    <x v="4"/>
    <s v="Pass"/>
    <m/>
    <m/>
    <m/>
    <s v="CRP testing Landed cost"/>
    <m/>
    <s v="OOB"/>
    <x v="1"/>
  </r>
  <r>
    <m/>
    <m/>
    <m/>
    <s v="Step 3"/>
    <m/>
    <s v="Approval Process will follow the non-PO approval matrix."/>
    <m/>
    <x v="1"/>
    <m/>
    <m/>
    <m/>
    <m/>
    <m/>
    <m/>
    <s v="Script"/>
    <x v="2"/>
  </r>
  <r>
    <s v="Procure to Pay: Fixed Asset Vendor Bill"/>
    <m/>
    <m/>
    <m/>
    <m/>
    <m/>
    <m/>
    <x v="0"/>
    <m/>
    <m/>
    <m/>
    <m/>
    <m/>
    <m/>
    <m/>
    <x v="0"/>
  </r>
  <r>
    <s v="PTP37"/>
    <s v="Fixed Asset Vendor Invoice"/>
    <s v="Finance Analyst"/>
    <s v="Step 1"/>
    <s v="Fixed Asset Vendor Invoice"/>
    <s v="1. To create the vendor bill, enter the Reference Number, Vendor name, location, and rate. Subsidiary, currency, date, and posting period will be automatically populated. _x000a_2. Select Department, Class and location under segmentation._x000a_3. Enter the Items (tagged with Fixed Asset Account), Quantity, Rate and amount or the expense account (Fixed Asset account)and amount._x000a_3. Then click on the save button to save this transaction._x000a_"/>
    <s v="Vendor Bill is successfully created in Pending Approval status"/>
    <x v="6"/>
    <m/>
    <m/>
    <m/>
    <m/>
    <m/>
    <m/>
    <s v="OOB"/>
    <x v="2"/>
  </r>
  <r>
    <m/>
    <m/>
    <m/>
    <s v="Step 2"/>
    <m/>
    <s v="If the actual Expense account is tagged, create a journal entry to move the amount from actual expense account to fixed asset account"/>
    <m/>
    <x v="6"/>
    <m/>
    <m/>
    <m/>
    <m/>
    <m/>
    <m/>
    <s v="OOB"/>
    <x v="2"/>
  </r>
  <r>
    <m/>
    <m/>
    <m/>
    <s v="Step 3"/>
    <m/>
    <s v="Approval Process will follow the non-PO approval matrix."/>
    <m/>
    <x v="1"/>
    <m/>
    <m/>
    <m/>
    <m/>
    <m/>
    <m/>
    <s v="Script"/>
    <x v="2"/>
  </r>
  <r>
    <s v="Procure to Pay: Standalone Vendor Bill (Non-PO Vendor Bill)"/>
    <m/>
    <m/>
    <m/>
    <m/>
    <m/>
    <m/>
    <x v="0"/>
    <m/>
    <m/>
    <m/>
    <m/>
    <m/>
    <m/>
    <m/>
    <x v="0"/>
  </r>
  <r>
    <s v="PTP38"/>
    <s v="Standalone Vendor Bill (Non-PO Bill)_x000a_Credit Card Payment Bill_x000a_Direct Debits"/>
    <s v="Finance Analyst"/>
    <s v="Step 1"/>
    <s v="Standalone Vendor Bill (Non-PO Bill)_x000a_Credit Card Payment Bill_x000a_Direct Debits"/>
    <s v="1. To create the vendor bill enter the Reference Number, Vendor name, location, and rate. Subsidiary, currency, date, and posting period will be automatically populated. _x000a_2. Select Department, Class and location under segmentation._x000a_3. Enter the Items, Quantity, Rate and amount or the expense account and amount._x000a_4. Then click on the save button to save this transaction."/>
    <s v="Vendor Bill is successfully created in Pending Approval status"/>
    <x v="6"/>
    <m/>
    <m/>
    <m/>
    <m/>
    <m/>
    <m/>
    <s v="OOB"/>
    <x v="2"/>
  </r>
  <r>
    <s v="Procure to Pay: Non-PO Vendor Bill Approval - RISK"/>
    <m/>
    <m/>
    <m/>
    <m/>
    <m/>
    <m/>
    <x v="0"/>
    <m/>
    <m/>
    <m/>
    <m/>
    <m/>
    <m/>
    <m/>
    <x v="0"/>
  </r>
  <r>
    <s v="PTP38"/>
    <s v="Risk"/>
    <s v="Director / Senior Director"/>
    <s v="Step 1"/>
    <s v="&lt;=15K"/>
    <s v="Director / Senior Director"/>
    <m/>
    <x v="2"/>
    <m/>
    <m/>
    <m/>
    <m/>
    <m/>
    <m/>
    <s v="Workflow"/>
    <x v="2"/>
  </r>
  <r>
    <m/>
    <m/>
    <s v="SVP &amp; Global Head - Risk"/>
    <s v="Step 1"/>
    <s v="&gt;15k to &lt;=50K"/>
    <s v="SVP &amp; Global Head - Risk"/>
    <m/>
    <x v="2"/>
    <m/>
    <m/>
    <m/>
    <m/>
    <m/>
    <m/>
    <s v="Workflow"/>
    <x v="2"/>
  </r>
  <r>
    <m/>
    <m/>
    <s v="COO &amp;  CFO"/>
    <s v="Step 1"/>
    <s v="&gt;50K to &lt;=250K"/>
    <s v="COO &amp;  CFO"/>
    <m/>
    <x v="2"/>
    <m/>
    <m/>
    <m/>
    <m/>
    <m/>
    <m/>
    <s v="Workflow"/>
    <x v="2"/>
  </r>
  <r>
    <m/>
    <m/>
    <s v="CEO"/>
    <s v="Step 1"/>
    <s v="&gt;250K"/>
    <s v="CEO"/>
    <m/>
    <x v="2"/>
    <m/>
    <m/>
    <m/>
    <m/>
    <m/>
    <m/>
    <s v="Workflow"/>
    <x v="2"/>
  </r>
  <r>
    <s v="Procure to Pay: Non-PO Vendor Bill Approval - DEPARTMENT: E&amp;E, ROAMING, SECURITY &amp; TESTING"/>
    <m/>
    <m/>
    <m/>
    <m/>
    <m/>
    <m/>
    <x v="0"/>
    <m/>
    <m/>
    <m/>
    <m/>
    <m/>
    <m/>
    <m/>
    <x v="0"/>
  </r>
  <r>
    <s v="PTP39"/>
    <s v="E&amp;E, Roaming, Security and Testing"/>
    <s v="Director / Senior Director"/>
    <s v="Step 1"/>
    <s v="&lt;=15K"/>
    <s v="Director / Senior Director"/>
    <m/>
    <x v="2"/>
    <m/>
    <m/>
    <m/>
    <m/>
    <m/>
    <m/>
    <s v="Workflow"/>
    <x v="2"/>
  </r>
  <r>
    <m/>
    <m/>
    <s v="VP / SVP"/>
    <s v="Step 1"/>
    <s v="&gt;15k to &lt;=30K"/>
    <s v="VP / SVP"/>
    <m/>
    <x v="2"/>
    <m/>
    <m/>
    <m/>
    <m/>
    <m/>
    <m/>
    <s v="Workflow"/>
    <x v="2"/>
  </r>
  <r>
    <m/>
    <m/>
    <s v="Chief Product Officer"/>
    <s v="Step 1"/>
    <s v="&gt;30k to &lt;=50K"/>
    <s v="Chief Product Officer"/>
    <m/>
    <x v="2"/>
    <m/>
    <m/>
    <m/>
    <m/>
    <m/>
    <m/>
    <s v="Workflow"/>
    <x v="2"/>
  </r>
  <r>
    <m/>
    <m/>
    <s v="COO &amp;  CFO"/>
    <s v="Step 1"/>
    <s v="&gt;50K to &lt;=250K"/>
    <s v="COO &amp;  CFO"/>
    <m/>
    <x v="2"/>
    <m/>
    <m/>
    <m/>
    <m/>
    <m/>
    <m/>
    <s v="Workflow"/>
    <x v="2"/>
  </r>
  <r>
    <m/>
    <m/>
    <s v="CEO"/>
    <s v="Step 1"/>
    <s v="&gt;250K"/>
    <s v="CEO"/>
    <m/>
    <x v="2"/>
    <m/>
    <m/>
    <m/>
    <m/>
    <m/>
    <m/>
    <s v="Workflow"/>
    <x v="2"/>
  </r>
  <r>
    <s v="Procure to Pay: Non-PO Vendor Bill Approval - DEPARTMENT: MANAGED SERVICES &amp; CUSTOMER SUPPORT"/>
    <m/>
    <m/>
    <m/>
    <m/>
    <m/>
    <m/>
    <x v="0"/>
    <m/>
    <m/>
    <m/>
    <m/>
    <m/>
    <m/>
    <m/>
    <x v="0"/>
  </r>
  <r>
    <s v="PTP40"/>
    <s v="Managed Services &amp; Customer Support"/>
    <s v="Director / Senior Director"/>
    <s v="Step 1"/>
    <s v="&lt;=15K"/>
    <s v="Director / Senior Director"/>
    <m/>
    <x v="2"/>
    <m/>
    <m/>
    <m/>
    <m/>
    <m/>
    <m/>
    <s v="Workflow"/>
    <x v="2"/>
  </r>
  <r>
    <m/>
    <m/>
    <s v="SVP - Managed Services &amp; Customer Support"/>
    <s v="Step 1"/>
    <s v="&gt;15k to &lt;=50K"/>
    <s v="SVP - Managed Services &amp; Customer Support"/>
    <m/>
    <x v="2"/>
    <m/>
    <m/>
    <m/>
    <m/>
    <m/>
    <m/>
    <s v="Workflow"/>
    <x v="2"/>
  </r>
  <r>
    <m/>
    <m/>
    <s v="COO &amp;  CFO"/>
    <s v="Step 1"/>
    <s v="&gt;50K to &lt;=250K"/>
    <s v="COO &amp;  CFO"/>
    <m/>
    <x v="2"/>
    <m/>
    <m/>
    <m/>
    <m/>
    <m/>
    <m/>
    <s v="Workflow"/>
    <x v="2"/>
  </r>
  <r>
    <m/>
    <m/>
    <s v="CEO"/>
    <s v="Step 1"/>
    <s v="&gt;250K"/>
    <s v="CEO"/>
    <m/>
    <x v="2"/>
    <m/>
    <m/>
    <m/>
    <m/>
    <m/>
    <m/>
    <s v="Workflow"/>
    <x v="2"/>
  </r>
  <r>
    <s v="Procure to Pay: Non-PO Vendor Bill Approval - DEPARTMENT: DELIVERY"/>
    <m/>
    <m/>
    <m/>
    <m/>
    <m/>
    <m/>
    <x v="0"/>
    <m/>
    <m/>
    <m/>
    <m/>
    <m/>
    <m/>
    <m/>
    <x v="0"/>
  </r>
  <r>
    <s v="PTP41"/>
    <s v="Delivery"/>
    <s v="Senior Vice President &amp; Global Head of Delivery"/>
    <s v="Step 1"/>
    <s v="&lt;=50K"/>
    <s v="Senior Vice President &amp; Global Head of Delivery"/>
    <m/>
    <x v="2"/>
    <m/>
    <m/>
    <m/>
    <m/>
    <m/>
    <m/>
    <s v="Workflow"/>
    <x v="2"/>
  </r>
  <r>
    <m/>
    <m/>
    <s v="COO &amp;  CFO"/>
    <s v="Step 1"/>
    <s v="&gt;50K to &lt;=250K"/>
    <s v="COO &amp;  CFO"/>
    <m/>
    <x v="2"/>
    <m/>
    <m/>
    <m/>
    <m/>
    <m/>
    <m/>
    <s v="Workflow"/>
    <x v="2"/>
  </r>
  <r>
    <m/>
    <m/>
    <s v="CEO"/>
    <s v="Step 1"/>
    <s v="&gt;250K"/>
    <s v="CEO"/>
    <m/>
    <x v="2"/>
    <m/>
    <m/>
    <m/>
    <m/>
    <m/>
    <m/>
    <s v="Workflow"/>
    <x v="2"/>
  </r>
  <r>
    <s v="Procure to Pay: Non-PO Vendor Bill Approval - DEPARTMENT: LEGAL"/>
    <m/>
    <m/>
    <m/>
    <m/>
    <m/>
    <m/>
    <x v="0"/>
    <m/>
    <m/>
    <m/>
    <m/>
    <m/>
    <m/>
    <m/>
    <x v="0"/>
  </r>
  <r>
    <s v="PTP42"/>
    <s v="Legal"/>
    <s v="Director / Senior Director"/>
    <s v="Step 1"/>
    <s v="&lt;=15K"/>
    <s v="Director / Senior Director"/>
    <m/>
    <x v="2"/>
    <m/>
    <m/>
    <m/>
    <m/>
    <m/>
    <m/>
    <s v="Workflow"/>
    <x v="2"/>
  </r>
  <r>
    <m/>
    <m/>
    <s v="General Counsel"/>
    <s v="Step 1"/>
    <s v="&gt;15k to &lt;=50K"/>
    <s v="General Counsel"/>
    <m/>
    <x v="2"/>
    <m/>
    <m/>
    <m/>
    <m/>
    <m/>
    <m/>
    <s v="Workflow"/>
    <x v="2"/>
  </r>
  <r>
    <m/>
    <m/>
    <s v="COO &amp;  CFO"/>
    <s v="Step 1"/>
    <s v="&gt;50K to &lt;=250K"/>
    <s v="COO &amp;  CFO"/>
    <m/>
    <x v="2"/>
    <m/>
    <m/>
    <m/>
    <m/>
    <m/>
    <m/>
    <s v="Workflow"/>
    <x v="2"/>
  </r>
  <r>
    <m/>
    <m/>
    <s v="CEO"/>
    <s v="Step 1"/>
    <s v="&gt;250K"/>
    <s v="CEO"/>
    <m/>
    <x v="2"/>
    <m/>
    <m/>
    <m/>
    <m/>
    <m/>
    <m/>
    <s v="Workflow"/>
    <x v="2"/>
  </r>
  <r>
    <s v="Procure to Pay: Non-PO Vendor Bill Approval - DEPARTMENT: HR"/>
    <m/>
    <m/>
    <m/>
    <m/>
    <m/>
    <m/>
    <x v="0"/>
    <m/>
    <m/>
    <m/>
    <m/>
    <m/>
    <m/>
    <m/>
    <x v="0"/>
  </r>
  <r>
    <s v="PTP43"/>
    <s v="HR"/>
    <s v="Director / Senior Director"/>
    <s v="Step 1"/>
    <s v="&lt;=15K"/>
    <s v="Director / Senior Director"/>
    <m/>
    <x v="2"/>
    <m/>
    <m/>
    <m/>
    <m/>
    <m/>
    <m/>
    <s v="Workflow"/>
    <x v="2"/>
  </r>
  <r>
    <m/>
    <m/>
    <s v="VP / SVP"/>
    <s v="Step 1"/>
    <s v="&gt;15k to &lt;=50K"/>
    <s v="VP / SVP"/>
    <m/>
    <x v="2"/>
    <m/>
    <m/>
    <m/>
    <m/>
    <m/>
    <m/>
    <s v="Workflow"/>
    <x v="2"/>
  </r>
  <r>
    <m/>
    <m/>
    <s v="Chief HR Officer"/>
    <s v="Step 1"/>
    <s v="&gt;30k to &lt;=50K"/>
    <s v="Chief HR Officer"/>
    <m/>
    <x v="2"/>
    <m/>
    <m/>
    <m/>
    <m/>
    <m/>
    <m/>
    <s v="Workflow"/>
    <x v="2"/>
  </r>
  <r>
    <m/>
    <m/>
    <s v="COO &amp;  CFO"/>
    <s v="Step 1"/>
    <s v="&gt;50K to &lt;=250K"/>
    <s v="COO &amp;  CFO"/>
    <m/>
    <x v="2"/>
    <m/>
    <m/>
    <m/>
    <m/>
    <m/>
    <m/>
    <s v="Workflow"/>
    <x v="2"/>
  </r>
  <r>
    <m/>
    <m/>
    <s v="CEO"/>
    <s v="Step 1"/>
    <s v="&gt;250K"/>
    <s v="CEO"/>
    <m/>
    <x v="2"/>
    <m/>
    <m/>
    <m/>
    <m/>
    <m/>
    <m/>
    <s v="Workflow"/>
    <x v="2"/>
  </r>
  <r>
    <s v="Procure to Pay: Non-PO Vendor Bill Approval - DEPARTMENT: IT"/>
    <m/>
    <m/>
    <m/>
    <m/>
    <m/>
    <m/>
    <x v="0"/>
    <m/>
    <m/>
    <m/>
    <m/>
    <m/>
    <m/>
    <m/>
    <x v="0"/>
  </r>
  <r>
    <s v="PTP44"/>
    <s v="IT"/>
    <s v="Director / Senior Director"/>
    <s v="Step 1"/>
    <s v="&lt;=15K"/>
    <s v="Director / Senior Director"/>
    <m/>
    <x v="2"/>
    <m/>
    <m/>
    <m/>
    <m/>
    <m/>
    <m/>
    <s v="Workflow"/>
    <x v="2"/>
  </r>
  <r>
    <m/>
    <m/>
    <s v="Vice President - IT"/>
    <s v="Step 1"/>
    <s v="&gt;15k to &lt;=50K"/>
    <s v="Vice President - IT"/>
    <m/>
    <x v="2"/>
    <m/>
    <m/>
    <m/>
    <m/>
    <m/>
    <m/>
    <s v="Workflow"/>
    <x v="2"/>
  </r>
  <r>
    <m/>
    <m/>
    <s v="COO &amp;  CFO"/>
    <s v="Step 1"/>
    <s v="&gt;50K to &lt;=250K"/>
    <s v="COO &amp;  CFO"/>
    <m/>
    <x v="2"/>
    <m/>
    <m/>
    <m/>
    <m/>
    <m/>
    <m/>
    <s v="Workflow"/>
    <x v="2"/>
  </r>
  <r>
    <m/>
    <m/>
    <s v="CEO"/>
    <s v="Step 1"/>
    <s v="&gt;250K"/>
    <s v="CEO"/>
    <m/>
    <x v="2"/>
    <m/>
    <m/>
    <m/>
    <m/>
    <m/>
    <m/>
    <s v="Workflow"/>
    <x v="2"/>
  </r>
  <r>
    <s v="Procure to Pay: Non-PO Vendor Bill Approval - DEPARTMENT: CLOUD OPS"/>
    <m/>
    <m/>
    <m/>
    <m/>
    <m/>
    <m/>
    <x v="0"/>
    <m/>
    <m/>
    <m/>
    <m/>
    <m/>
    <m/>
    <m/>
    <x v="0"/>
  </r>
  <r>
    <s v="PTP44"/>
    <s v="Cloud Ops"/>
    <s v="Director / Senior Director"/>
    <s v="Step 1"/>
    <s v="&lt;=15K"/>
    <s v="Director / Senior Director"/>
    <m/>
    <x v="2"/>
    <m/>
    <m/>
    <m/>
    <m/>
    <m/>
    <m/>
    <s v="Workflow"/>
    <x v="2"/>
  </r>
  <r>
    <m/>
    <m/>
    <s v="COO &amp; CFO"/>
    <s v="Step 1"/>
    <s v="&gt;15k to &lt;=250K"/>
    <s v="COO &amp; CFO"/>
    <m/>
    <x v="2"/>
    <m/>
    <m/>
    <m/>
    <m/>
    <m/>
    <m/>
    <s v="Workflow"/>
    <x v="2"/>
  </r>
  <r>
    <m/>
    <m/>
    <s v="CEO"/>
    <s v="Step 1"/>
    <s v="&gt;250K"/>
    <s v="CEO"/>
    <m/>
    <x v="2"/>
    <m/>
    <m/>
    <m/>
    <m/>
    <m/>
    <m/>
    <s v="Workflow"/>
    <x v="2"/>
  </r>
  <r>
    <s v="Procure to Pay: Non-PO Vendor Bill Approval - DEPARTMENT: ACCOUNTING"/>
    <m/>
    <m/>
    <m/>
    <m/>
    <m/>
    <m/>
    <x v="0"/>
    <m/>
    <m/>
    <m/>
    <m/>
    <m/>
    <m/>
    <m/>
    <x v="0"/>
  </r>
  <r>
    <s v="PTP45"/>
    <s v="Accounting"/>
    <s v="Corporate Controller"/>
    <s v="Step 1"/>
    <s v="&lt;=30K"/>
    <s v="Corporate Controller"/>
    <m/>
    <x v="2"/>
    <m/>
    <m/>
    <m/>
    <m/>
    <m/>
    <m/>
    <s v="Workflow"/>
    <x v="2"/>
  </r>
  <r>
    <m/>
    <m/>
    <s v="Chief Accounting Officer"/>
    <s v="Step 1"/>
    <s v="&gt;30k to &lt;=50K"/>
    <s v="Chief Accounting Officer"/>
    <m/>
    <x v="2"/>
    <m/>
    <m/>
    <m/>
    <m/>
    <m/>
    <m/>
    <s v="Workflow"/>
    <x v="2"/>
  </r>
  <r>
    <m/>
    <m/>
    <s v="COO &amp;  CFO"/>
    <s v="Step 1"/>
    <s v="&gt;50K to &lt;=250K"/>
    <s v="COO &amp;  CFO"/>
    <m/>
    <x v="2"/>
    <m/>
    <m/>
    <m/>
    <m/>
    <m/>
    <m/>
    <s v="Workflow"/>
    <x v="2"/>
  </r>
  <r>
    <m/>
    <m/>
    <s v="CEO"/>
    <s v="Step 1"/>
    <s v="&gt;250K"/>
    <s v="CEO"/>
    <m/>
    <x v="2"/>
    <m/>
    <m/>
    <m/>
    <m/>
    <m/>
    <m/>
    <s v="Workflow"/>
    <x v="2"/>
  </r>
  <r>
    <s v="Procure to Pay: Non-PO Vendor Bill Approval - DEPARTMENT: TAX"/>
    <m/>
    <m/>
    <m/>
    <m/>
    <m/>
    <m/>
    <x v="0"/>
    <m/>
    <m/>
    <m/>
    <m/>
    <m/>
    <m/>
    <m/>
    <x v="0"/>
  </r>
  <r>
    <s v="PTP46"/>
    <s v="Tax"/>
    <s v="VP / SVP"/>
    <s v="Step 1"/>
    <s v="&lt;=30K"/>
    <s v="VP / SVP"/>
    <m/>
    <x v="2"/>
    <m/>
    <m/>
    <m/>
    <m/>
    <m/>
    <m/>
    <s v="Workflow"/>
    <x v="2"/>
  </r>
  <r>
    <m/>
    <m/>
    <s v="Chief Accounting Officer"/>
    <s v="Step 1"/>
    <s v="&gt;30k to &lt;=50K"/>
    <s v="Chief Accounting Officer"/>
    <m/>
    <x v="2"/>
    <m/>
    <m/>
    <m/>
    <m/>
    <m/>
    <m/>
    <s v="Workflow"/>
    <x v="2"/>
  </r>
  <r>
    <m/>
    <m/>
    <s v="COO &amp;  CFO"/>
    <s v="Step 1"/>
    <s v="&gt;50K to &lt;=250K"/>
    <s v="COO &amp;  CFO"/>
    <m/>
    <x v="2"/>
    <m/>
    <m/>
    <m/>
    <m/>
    <m/>
    <m/>
    <s v="Workflow"/>
    <x v="2"/>
  </r>
  <r>
    <m/>
    <m/>
    <s v="CEO"/>
    <s v="Step 1"/>
    <s v="&gt;250K"/>
    <s v="CEO"/>
    <m/>
    <x v="2"/>
    <m/>
    <m/>
    <m/>
    <m/>
    <m/>
    <m/>
    <s v="Workflow"/>
    <x v="2"/>
  </r>
  <r>
    <s v="Procure to Pay: Non-PO Vendor Bill Approval - DEPARTMENT: FACILITIES &amp; FPA"/>
    <m/>
    <m/>
    <m/>
    <m/>
    <m/>
    <m/>
    <x v="0"/>
    <m/>
    <m/>
    <m/>
    <m/>
    <m/>
    <m/>
    <m/>
    <x v="0"/>
  </r>
  <r>
    <s v="PTP47"/>
    <s v="Facilities &amp; FPA"/>
    <s v="Director / Senior Director"/>
    <s v="Step 1"/>
    <s v="&lt;=15K"/>
    <s v="Director / Senior Director"/>
    <m/>
    <x v="2"/>
    <m/>
    <m/>
    <m/>
    <m/>
    <m/>
    <m/>
    <s v="Workflow"/>
    <x v="2"/>
  </r>
  <r>
    <m/>
    <m/>
    <s v="VP / SVP"/>
    <s v="Step 1"/>
    <s v="&gt;15k to &lt;=50K"/>
    <s v="VP / SVP"/>
    <m/>
    <x v="2"/>
    <m/>
    <m/>
    <m/>
    <m/>
    <m/>
    <m/>
    <s v="Workflow"/>
    <x v="2"/>
  </r>
  <r>
    <m/>
    <m/>
    <s v="COO &amp;  CFO"/>
    <s v="Step 1"/>
    <s v="&gt;50K to &lt;=250K"/>
    <s v="COO &amp;  CFO"/>
    <m/>
    <x v="2"/>
    <m/>
    <m/>
    <m/>
    <m/>
    <m/>
    <m/>
    <s v="Workflow"/>
    <x v="2"/>
  </r>
  <r>
    <m/>
    <m/>
    <s v="CEO"/>
    <s v="Step 1"/>
    <s v="&gt;250K"/>
    <s v="CEO"/>
    <m/>
    <x v="2"/>
    <m/>
    <m/>
    <m/>
    <m/>
    <m/>
    <m/>
    <s v="Workflow"/>
    <x v="2"/>
  </r>
  <r>
    <s v="Procure to Pay: Non-PO Vendor Bill Approval - DEPARTMENT: COMPLIANCE"/>
    <m/>
    <m/>
    <m/>
    <m/>
    <m/>
    <m/>
    <x v="0"/>
    <m/>
    <m/>
    <m/>
    <m/>
    <m/>
    <m/>
    <m/>
    <x v="0"/>
  </r>
  <r>
    <s v="PTP48"/>
    <s v="Compliance"/>
    <s v="Chief Compliance Officer"/>
    <s v="Step 1"/>
    <s v="&lt;=50K"/>
    <s v="Chief Compliance Officer"/>
    <m/>
    <x v="2"/>
    <m/>
    <m/>
    <m/>
    <m/>
    <m/>
    <m/>
    <s v="Workflow"/>
    <x v="2"/>
  </r>
  <r>
    <m/>
    <m/>
    <s v="COO &amp;  CFO"/>
    <s v="Step 1"/>
    <s v="&gt;50K to &lt;=250K"/>
    <s v="COO &amp;  CFO"/>
    <m/>
    <x v="2"/>
    <m/>
    <m/>
    <m/>
    <m/>
    <m/>
    <m/>
    <s v="Workflow"/>
    <x v="2"/>
  </r>
  <r>
    <m/>
    <m/>
    <s v="CEO"/>
    <s v="Step 1"/>
    <s v="&gt;250K"/>
    <s v="CEO"/>
    <m/>
    <x v="2"/>
    <m/>
    <m/>
    <m/>
    <m/>
    <m/>
    <m/>
    <s v="Workflow"/>
    <x v="2"/>
  </r>
  <r>
    <s v="Procure to Pay: Non-PO Vendor Bill Approval - DEPARTMENT: ENGINEERING"/>
    <m/>
    <m/>
    <m/>
    <m/>
    <m/>
    <m/>
    <x v="0"/>
    <m/>
    <m/>
    <m/>
    <m/>
    <m/>
    <m/>
    <m/>
    <x v="0"/>
  </r>
  <r>
    <s v="PTP49"/>
    <s v="Engineering"/>
    <s v="Director / Senior Director"/>
    <s v="Step 1"/>
    <s v="&lt;=15K"/>
    <s v="Director / Senior Director"/>
    <m/>
    <x v="2"/>
    <m/>
    <m/>
    <m/>
    <m/>
    <m/>
    <m/>
    <s v="Workflow"/>
    <x v="2"/>
  </r>
  <r>
    <m/>
    <m/>
    <s v="VP / SVP"/>
    <s v="Step 1"/>
    <s v="&gt;15k to &lt;=30K"/>
    <s v="VP / SVP"/>
    <m/>
    <x v="2"/>
    <m/>
    <m/>
    <m/>
    <m/>
    <m/>
    <m/>
    <s v="Workflow"/>
    <x v="2"/>
  </r>
  <r>
    <m/>
    <m/>
    <s v="CTO or SVP - Global Head of Engineering"/>
    <s v="Step 1"/>
    <s v="&gt;30k to &lt;=50K"/>
    <s v="CTO or SVP - Global Head of Engineering"/>
    <m/>
    <x v="2"/>
    <m/>
    <m/>
    <m/>
    <m/>
    <m/>
    <m/>
    <s v="Workflow"/>
    <x v="2"/>
  </r>
  <r>
    <m/>
    <m/>
    <s v="COO &amp;  CFO"/>
    <s v="Step 1"/>
    <s v="&gt;50K to &lt;=250K"/>
    <s v="COO &amp;  CFO"/>
    <m/>
    <x v="2"/>
    <m/>
    <m/>
    <m/>
    <m/>
    <m/>
    <m/>
    <s v="Workflow"/>
    <x v="2"/>
  </r>
  <r>
    <m/>
    <m/>
    <s v="CEO"/>
    <s v="Step 1"/>
    <s v="&gt;250K"/>
    <s v="CEO"/>
    <m/>
    <x v="2"/>
    <m/>
    <m/>
    <m/>
    <m/>
    <m/>
    <m/>
    <s v="Workflow"/>
    <x v="2"/>
  </r>
  <r>
    <s v="Procure to Pay: Non-PO Vendor Bill Approval - DEPARTMENT: SALES"/>
    <m/>
    <m/>
    <m/>
    <m/>
    <m/>
    <m/>
    <x v="0"/>
    <m/>
    <m/>
    <m/>
    <m/>
    <m/>
    <m/>
    <m/>
    <x v="0"/>
  </r>
  <r>
    <s v="PTP50"/>
    <s v="Sales"/>
    <s v="Director / Senior Director"/>
    <s v="Step 1"/>
    <s v="&lt;=15K"/>
    <s v="Director / Senior Director"/>
    <m/>
    <x v="2"/>
    <m/>
    <m/>
    <m/>
    <m/>
    <m/>
    <m/>
    <s v="Script"/>
    <x v="2"/>
  </r>
  <r>
    <m/>
    <m/>
    <s v="VP / SVP"/>
    <s v="Step 1"/>
    <s v="&gt;15k to &lt;=30K"/>
    <s v="VP / SVP"/>
    <m/>
    <x v="2"/>
    <m/>
    <m/>
    <m/>
    <m/>
    <m/>
    <m/>
    <s v="Workflow"/>
    <x v="2"/>
  </r>
  <r>
    <m/>
    <m/>
    <s v="Chief Revenue Officer"/>
    <s v="Step 1"/>
    <s v="&gt;30k to &lt;=50K"/>
    <s v="Chief Revenue Officer"/>
    <m/>
    <x v="2"/>
    <m/>
    <m/>
    <m/>
    <m/>
    <m/>
    <m/>
    <s v="Workflow"/>
    <x v="2"/>
  </r>
  <r>
    <m/>
    <m/>
    <s v="COO &amp;  CFO"/>
    <s v="Step 1"/>
    <s v="&gt;50K to &lt;=250K"/>
    <s v="COO &amp;  CFO"/>
    <m/>
    <x v="2"/>
    <m/>
    <m/>
    <m/>
    <m/>
    <m/>
    <m/>
    <s v="Workflow"/>
    <x v="2"/>
  </r>
  <r>
    <m/>
    <m/>
    <s v="CEO"/>
    <s v="Step 1"/>
    <s v="&gt;250K"/>
    <s v="CEO"/>
    <m/>
    <x v="2"/>
    <m/>
    <m/>
    <m/>
    <m/>
    <m/>
    <m/>
    <s v="Workflow"/>
    <x v="2"/>
  </r>
  <r>
    <s v="Procure to Pay: Non-PO Vendor Bill Approval - DEPARTMENT: MARKETING"/>
    <m/>
    <m/>
    <m/>
    <m/>
    <m/>
    <m/>
    <x v="0"/>
    <m/>
    <m/>
    <m/>
    <m/>
    <m/>
    <m/>
    <m/>
    <x v="0"/>
  </r>
  <r>
    <s v="PTP51"/>
    <s v="Marketing"/>
    <s v="Chief Marketing Officer"/>
    <s v="Step 1"/>
    <s v="&lt;=50K"/>
    <s v="Chief Marketing Officer"/>
    <m/>
    <x v="2"/>
    <m/>
    <m/>
    <m/>
    <m/>
    <m/>
    <m/>
    <s v="Workflow"/>
    <x v="2"/>
  </r>
  <r>
    <m/>
    <m/>
    <s v="COO &amp;  CFO"/>
    <s v="Step 1"/>
    <s v="&gt;50K to &lt;=250K"/>
    <s v="COO &amp;  CFO"/>
    <m/>
    <x v="2"/>
    <m/>
    <m/>
    <m/>
    <m/>
    <m/>
    <m/>
    <s v="Workflow"/>
    <x v="2"/>
  </r>
  <r>
    <m/>
    <m/>
    <s v="CEO"/>
    <s v="Step 1"/>
    <s v="&gt;250K"/>
    <s v="CEO"/>
    <m/>
    <x v="2"/>
    <m/>
    <m/>
    <m/>
    <m/>
    <m/>
    <m/>
    <s v="Workflow"/>
    <x v="2"/>
  </r>
  <r>
    <s v="Procure to Pay: Non-PO Vendor Bill Approval - DEPARTMENT: PRODUCT MANAGEMENT - NO RISK"/>
    <m/>
    <m/>
    <m/>
    <m/>
    <m/>
    <m/>
    <x v="0"/>
    <m/>
    <m/>
    <m/>
    <m/>
    <m/>
    <m/>
    <m/>
    <x v="0"/>
  </r>
  <r>
    <s v="PTP52"/>
    <s v="Product Management - No Risk"/>
    <s v="Director / Senior Director"/>
    <s v="Step 1"/>
    <s v="&lt;=15K"/>
    <s v="Director / Senior Director"/>
    <m/>
    <x v="2"/>
    <m/>
    <m/>
    <m/>
    <m/>
    <m/>
    <m/>
    <s v="Script"/>
    <x v="2"/>
  </r>
  <r>
    <m/>
    <m/>
    <s v="VP / SVP"/>
    <s v="Step 1"/>
    <s v="&gt;15k to &lt;=30K"/>
    <s v="VP / SVP"/>
    <m/>
    <x v="2"/>
    <m/>
    <m/>
    <m/>
    <m/>
    <m/>
    <m/>
    <s v="Workflow"/>
    <x v="2"/>
  </r>
  <r>
    <m/>
    <m/>
    <s v="Chief Product Manager"/>
    <s v="Step 1"/>
    <s v="&gt;30k to &lt;=50K"/>
    <s v="Chief Product Manager"/>
    <m/>
    <x v="2"/>
    <m/>
    <m/>
    <m/>
    <m/>
    <m/>
    <m/>
    <s v="Workflow"/>
    <x v="2"/>
  </r>
  <r>
    <m/>
    <m/>
    <s v="COO &amp;  CFO"/>
    <s v="Step 1"/>
    <s v="&gt;50K to &lt;=250K"/>
    <s v="COO &amp;  CFO"/>
    <m/>
    <x v="2"/>
    <m/>
    <m/>
    <m/>
    <m/>
    <m/>
    <m/>
    <s v="Workflow"/>
    <x v="2"/>
  </r>
  <r>
    <m/>
    <m/>
    <s v="CEO"/>
    <s v="Step 1"/>
    <s v="&gt;250K"/>
    <s v="CEO"/>
    <m/>
    <x v="2"/>
    <m/>
    <m/>
    <m/>
    <m/>
    <m/>
    <m/>
    <s v="Workflow"/>
    <x v="2"/>
  </r>
  <r>
    <s v="Procure to Pay: Non-PO Vendor Bill Approval - DEPARTMENT: PRODUCT MANAGEMENT - RISK"/>
    <m/>
    <m/>
    <m/>
    <m/>
    <m/>
    <m/>
    <x v="0"/>
    <m/>
    <m/>
    <m/>
    <m/>
    <m/>
    <m/>
    <m/>
    <x v="0"/>
  </r>
  <r>
    <s v="PTP53"/>
    <s v="Product Management - Risk"/>
    <s v="Director / Senior Director"/>
    <s v="Step 1"/>
    <s v="&lt;=15K"/>
    <s v="Director / Senior Director"/>
    <m/>
    <x v="2"/>
    <m/>
    <m/>
    <m/>
    <m/>
    <m/>
    <m/>
    <s v="Workflow"/>
    <x v="2"/>
  </r>
  <r>
    <m/>
    <m/>
    <s v="SVP &amp; Global Head - Risk"/>
    <s v="Step 1"/>
    <s v="&gt;15k to &lt;=50K"/>
    <s v="SVP &amp; Global Head - Risk"/>
    <m/>
    <x v="2"/>
    <m/>
    <m/>
    <m/>
    <m/>
    <m/>
    <m/>
    <s v="Workflow"/>
    <x v="2"/>
  </r>
  <r>
    <m/>
    <m/>
    <s v="COO &amp;  CFO"/>
    <s v="Step 1"/>
    <s v="&gt;50K to &lt;=250K"/>
    <s v="COO &amp;  CFO"/>
    <m/>
    <x v="2"/>
    <m/>
    <m/>
    <m/>
    <m/>
    <m/>
    <m/>
    <s v="Workflow"/>
    <x v="2"/>
  </r>
  <r>
    <m/>
    <m/>
    <s v="CEO"/>
    <s v="Step 1"/>
    <s v="&gt;250K"/>
    <s v="CEO"/>
    <m/>
    <x v="2"/>
    <m/>
    <m/>
    <m/>
    <m/>
    <m/>
    <m/>
    <s v="Workflow"/>
    <x v="2"/>
  </r>
  <r>
    <s v="PTP54"/>
    <s v="Budget Validation"/>
    <s v="Department Approver &amp; CFO"/>
    <s v="Step 2"/>
    <s v="Amount Threshold_x000a_Budget - not available_x000a_Payment Term - matches"/>
    <s v="Once the above approver based on the amount approved, if the budget is not available, then CFO will approve the PR"/>
    <m/>
    <x v="2"/>
    <m/>
    <m/>
    <m/>
    <m/>
    <m/>
    <m/>
    <s v="Workflow"/>
    <x v="2"/>
  </r>
  <r>
    <s v="PTP55"/>
    <s v="Payment Term Validation"/>
    <s v="Department Approver &amp; Corporate Controller"/>
    <s v="Step 3"/>
    <s v="Amount Threshold;_x000a_Budget - Available_x000a_Payment Term - not matches &amp; Amount &lt;=10K"/>
    <s v="Department Approver &amp; Corporate Controller  will approve the PR"/>
    <m/>
    <x v="2"/>
    <m/>
    <m/>
    <m/>
    <m/>
    <m/>
    <m/>
    <s v="Workflow"/>
    <x v="2"/>
  </r>
  <r>
    <s v="PTP56"/>
    <s v="Payment Term Validation"/>
    <s v="Department Approver &amp; Chief Accounting Officer"/>
    <s v="Step 4"/>
    <s v="Amount Threshold;_x000a_Budget - Available_x000a_Payment Term - not matches &amp; Amount = 10K &amp; 50K"/>
    <s v="Department Approver &amp; Chief Accounting Officer  will approve the PR"/>
    <m/>
    <x v="2"/>
    <m/>
    <m/>
    <m/>
    <m/>
    <m/>
    <m/>
    <s v="Workflow"/>
    <x v="2"/>
  </r>
  <r>
    <s v="PTP57"/>
    <s v="Payment Term Validation"/>
    <s v="Department Approver &amp; COO /  CFO"/>
    <s v="Step 5"/>
    <s v="Amount Threshold;_x000a_Budget - Available_x000a_Payment Term - not matches &amp; Amount &gt;= 50K"/>
    <s v="Department Approver &amp; COO /  CFO  will approve the PR"/>
    <m/>
    <x v="2"/>
    <m/>
    <m/>
    <m/>
    <m/>
    <m/>
    <m/>
    <s v="Workflow"/>
    <x v="2"/>
  </r>
  <r>
    <s v="PTP58"/>
    <s v="Payment Term Validation"/>
    <s v="Department Approver &amp; COO /  CFO"/>
    <s v="Step 6"/>
    <s v="Amount Threshold;_x000a_Budget - Available_x000a_Payment Term - not matches &amp; Prepayment Amount &gt;= 5K"/>
    <s v="Department Approver &amp; COO /  CFO  will approve the PR"/>
    <m/>
    <x v="2"/>
    <m/>
    <m/>
    <m/>
    <m/>
    <m/>
    <m/>
    <s v="Workflow"/>
    <x v="2"/>
  </r>
  <r>
    <m/>
    <s v="Budget &amp; Payment Term Validation"/>
    <s v="Department Approver &amp; COO / CFO  "/>
    <s v="Step 7"/>
    <s v="Amount threshold;_x000a_Budget - not Available_x000a_Payment Term - not matches &amp; Amount &lt;=10K"/>
    <s v="Department Approver, CFO, Corporate Controller will approve the PR"/>
    <m/>
    <x v="2"/>
    <m/>
    <m/>
    <m/>
    <m/>
    <m/>
    <m/>
    <s v="Workflow"/>
    <x v="2"/>
  </r>
  <r>
    <m/>
    <s v="Budget &amp; Payment Term Validation"/>
    <s v="Department Approver, CFO, Corporate Controller "/>
    <s v="Step 8"/>
    <s v="Amount threshold;_x000a_Budget - not Available_x000a_Payment Term - not matches &amp; Amount = 10K &amp; 50K"/>
    <s v="Department Approver, CFO, Chief Accounting Officer will approve the PR"/>
    <m/>
    <x v="2"/>
    <m/>
    <m/>
    <m/>
    <m/>
    <m/>
    <m/>
    <s v="Workflow"/>
    <x v="2"/>
  </r>
  <r>
    <m/>
    <s v="Budget &amp; Payment Term Validation"/>
    <s v="Department Approver, CFO, Chief Accounting Officer "/>
    <s v="Step 9"/>
    <s v="Amount threshold;_x000a_Budget - not Available_x000a_Payment Term - not matches &amp; Amount &gt;= 50K"/>
    <s v="Department Approver, CFO, COO will approve the PR"/>
    <m/>
    <x v="2"/>
    <m/>
    <m/>
    <m/>
    <m/>
    <m/>
    <m/>
    <s v="Workflow"/>
    <x v="2"/>
  </r>
  <r>
    <m/>
    <s v="Prepayment Validation"/>
    <s v=" COO "/>
    <s v="Step 10"/>
    <s v="Prepayment &gt;=5K"/>
    <s v="Along with other approval, CFO  will approve the PR"/>
    <m/>
    <x v="2"/>
    <m/>
    <m/>
    <m/>
    <m/>
    <m/>
    <m/>
    <s v="Workflow"/>
    <x v="2"/>
  </r>
  <r>
    <s v="Procure to Pay: Non-PO Vendor Bill Approval - REJECTION"/>
    <m/>
    <m/>
    <m/>
    <m/>
    <m/>
    <m/>
    <x v="0"/>
    <m/>
    <m/>
    <m/>
    <m/>
    <m/>
    <m/>
    <m/>
    <x v="0"/>
  </r>
  <r>
    <s v="PTP59"/>
    <s v="Rejection"/>
    <s v="Rejection"/>
    <s v="Step 1"/>
    <s v="Rejection"/>
    <s v="If the PR is rejected at any level, it will be routed from the beginning for the reapproval"/>
    <m/>
    <x v="2"/>
    <m/>
    <m/>
    <m/>
    <m/>
    <m/>
    <m/>
    <s v="Script"/>
    <x v="2"/>
  </r>
  <r>
    <s v="Procure to Pay: Intercompany Process"/>
    <m/>
    <m/>
    <m/>
    <m/>
    <m/>
    <m/>
    <x v="0"/>
    <m/>
    <m/>
    <m/>
    <m/>
    <m/>
    <m/>
    <m/>
    <x v="0"/>
  </r>
  <r>
    <s v="Procure to Pay: Intercompany Purchase Order"/>
    <m/>
    <m/>
    <m/>
    <m/>
    <m/>
    <m/>
    <x v="0"/>
    <m/>
    <m/>
    <m/>
    <m/>
    <m/>
    <m/>
    <m/>
    <x v="0"/>
  </r>
  <r>
    <s v="PTP60"/>
    <s v="Intercompany Process"/>
    <m/>
    <s v="Step 1"/>
    <s v="Intercompany PO"/>
    <s v="Navigation: "/>
    <m/>
    <x v="6"/>
    <m/>
    <m/>
    <m/>
    <m/>
    <m/>
    <m/>
    <s v="OOB"/>
    <x v="2"/>
  </r>
  <r>
    <m/>
    <m/>
    <s v="Purchasing Team"/>
    <s v="Step 2"/>
    <m/>
    <s v="1. Create the Intercompany Purchase Order by adding the intercompany vendor in the vendor field and intercompany customer in the subsidiary field._x000a_2.  Add the subsidiary, currency, items, quantity, rate and amount_x000a_3. then click on Save button to save the record_x000a_4. NO APPROVAL PROCESS"/>
    <s v="Intercompany Purchase Order  is created "/>
    <x v="6"/>
    <m/>
    <m/>
    <m/>
    <m/>
    <m/>
    <m/>
    <s v="OOB"/>
    <x v="2"/>
  </r>
  <r>
    <m/>
    <m/>
    <m/>
    <s v="Step 3"/>
    <m/>
    <s v="Then, from the Manage Sales Order page, select the Orders which needs to be created as the Sales Order and hit Submit"/>
    <s v="Intercompany Sales Order  is created automatically"/>
    <x v="6"/>
    <m/>
    <m/>
    <m/>
    <m/>
    <m/>
    <m/>
    <s v="OOB"/>
    <x v="2"/>
  </r>
  <r>
    <s v="Procure to Pay: Intercompany Vendor Bill"/>
    <m/>
    <m/>
    <m/>
    <m/>
    <m/>
    <m/>
    <x v="0"/>
    <m/>
    <m/>
    <m/>
    <m/>
    <m/>
    <m/>
    <m/>
    <x v="0"/>
  </r>
  <r>
    <s v="PTP61"/>
    <m/>
    <s v="Customization"/>
    <s v="Step 1"/>
    <s v="Intercompany Bill"/>
    <s v="When the intercompany invoice is approved by the approver, the Intercompany Vendor Invoice will be created automatically (PO should be in pending bill status)"/>
    <s v="1. PO in Pending Bill status_x000a_2. IC Bill is created automatically"/>
    <x v="1"/>
    <m/>
    <m/>
    <m/>
    <m/>
    <m/>
    <m/>
    <s v="Script"/>
    <x v="2"/>
  </r>
  <r>
    <m/>
    <m/>
    <s v="Customization"/>
    <s v="Step 2"/>
    <m/>
    <s v="When the intercompany Bill is created, the Intercompany Invoice will be created automatically (SO should be in pending bill status)"/>
    <s v="1. SO in Pending Bill status_x000a_2. IC invoice is created automatically"/>
    <x v="1"/>
    <m/>
    <m/>
    <m/>
    <m/>
    <m/>
    <m/>
    <s v="Script"/>
    <x v="2"/>
  </r>
  <r>
    <s v="Procure to Pay: Intercompany Vendor Credit"/>
    <m/>
    <m/>
    <m/>
    <m/>
    <m/>
    <m/>
    <x v="0"/>
    <m/>
    <m/>
    <m/>
    <m/>
    <m/>
    <m/>
    <m/>
    <x v="0"/>
  </r>
  <r>
    <s v="PTP62"/>
    <s v="Intercompany Process"/>
    <s v="Financial Analyst"/>
    <s v="Step 1"/>
    <s v="Intercompany Bill Credit &amp; Credit Memo"/>
    <s v="Navigation: "/>
    <m/>
    <x v="6"/>
    <m/>
    <m/>
    <m/>
    <m/>
    <m/>
    <m/>
    <s v="Script"/>
    <x v="2"/>
  </r>
  <r>
    <m/>
    <m/>
    <s v="Financial Analyst"/>
    <s v="Step 2"/>
    <m/>
    <s v="1. Create the Intercompany Credit memo by adding the intercompany customer in the customer field _x000a_2.  Add the subsidiary, currency, items, quantity, rate and amount_x000a_3. then click on Save button to save the record"/>
    <s v="Intercompany Credit Memo is created"/>
    <x v="6"/>
    <m/>
    <m/>
    <m/>
    <m/>
    <m/>
    <m/>
    <s v="Script"/>
    <x v="2"/>
  </r>
  <r>
    <m/>
    <m/>
    <s v="Customization"/>
    <s v="Step 3"/>
    <m/>
    <s v="When the Intercompany Credit Memo is created, the Intercompany Bill Credit to be created automatically"/>
    <s v="Intercompany Bill Credit is created automatically"/>
    <x v="1"/>
    <m/>
    <m/>
    <m/>
    <m/>
    <m/>
    <m/>
    <s v="Script"/>
    <x v="2"/>
  </r>
  <r>
    <m/>
    <m/>
    <s v="Financial Analyst"/>
    <s v="Step 1"/>
    <m/>
    <s v="Navigation: "/>
    <m/>
    <x v="6"/>
    <m/>
    <m/>
    <m/>
    <m/>
    <m/>
    <m/>
    <s v="Script"/>
    <x v="2"/>
  </r>
  <r>
    <m/>
    <m/>
    <s v="Financial Analyst"/>
    <s v="Step 2"/>
    <m/>
    <s v="1. Create the Intercompany bill Credit by adding the intercompany vendor in the vendor field _x000a_2.  Add the subsidiary, currency, items, quantity, rate and amount_x000a_3. then click on Save button to save the record"/>
    <s v="Intercompany Bill Credit is created"/>
    <x v="6"/>
    <m/>
    <m/>
    <m/>
    <m/>
    <m/>
    <m/>
    <s v="Script"/>
    <x v="2"/>
  </r>
  <r>
    <m/>
    <m/>
    <s v="Customization"/>
    <s v="Step 3"/>
    <m/>
    <s v="When the Intercompany Bill Credit is created, the Intercompany Credit Memo to be created automatically"/>
    <s v="Intercompany Credit Memo is created automatically"/>
    <x v="1"/>
    <m/>
    <m/>
    <m/>
    <m/>
    <m/>
    <m/>
    <s v="Script"/>
    <x v="2"/>
  </r>
  <r>
    <s v="Procure to Pay: Vendor Prepayment"/>
    <m/>
    <m/>
    <m/>
    <m/>
    <m/>
    <m/>
    <x v="0"/>
    <m/>
    <m/>
    <m/>
    <m/>
    <m/>
    <m/>
    <m/>
    <x v="0"/>
  </r>
  <r>
    <s v="PTP63"/>
    <s v="Vendor Prepayment"/>
    <s v="Treasury Team"/>
    <s v="Step 1"/>
    <s v="Vendor Prepayment"/>
    <s v="Navigation: "/>
    <m/>
    <x v="4"/>
    <m/>
    <m/>
    <m/>
    <m/>
    <m/>
    <m/>
    <s v="OOB"/>
    <x v="1"/>
  </r>
  <r>
    <m/>
    <m/>
    <m/>
    <s v="Step 2"/>
    <m/>
    <s v="1. To create the vendor prepayment, enter the vendor name, subsidiary, currency and the prepaid amount_x000a_2. Enter the Cash account, department, location and Class_x000a_3. Then click on Save button to save the record"/>
    <s v="1. Vendor Prepayment record is successfully created_x000a_2. GL Impact: DB: Advances to Vendor account_x000a_CR: Cash"/>
    <x v="4"/>
    <s v="Pass"/>
    <m/>
    <m/>
    <m/>
    <s v="Vendor Prepayment"/>
    <m/>
    <s v="OOB"/>
    <x v="1"/>
  </r>
  <r>
    <s v="PTP64"/>
    <m/>
    <m/>
    <s v="Step 1"/>
    <s v="Vendor Prepayment Application"/>
    <s v="Click on &quot;Apply&quot; Button in the vendor prepayment record_x000a_When the Vendor Prepayment is applied to the open Bill, it creates the vendor prepayment application record"/>
    <m/>
    <x v="4"/>
    <s v="Pass"/>
    <m/>
    <m/>
    <m/>
    <s v="Vendor Prepayment Application"/>
    <m/>
    <s v="OOB"/>
    <x v="1"/>
  </r>
  <r>
    <m/>
    <m/>
    <m/>
    <s v="Step 2"/>
    <m/>
    <s v="1. Click on &quot;Apply&quot; button and from the list select the Open Bills to apply the prepayment amount_x000a_2. Click on Save button to save the record"/>
    <s v="1. Vendor Prepayment application record is created successfully_x000a_2. GL Impact: DB: AP; CR: Advances to vendor account"/>
    <x v="4"/>
    <s v="Pass"/>
    <m/>
    <m/>
    <m/>
    <m/>
    <m/>
    <s v="OOB"/>
    <x v="1"/>
  </r>
  <r>
    <s v="Procure to Pay: Vendor Payments"/>
    <m/>
    <m/>
    <m/>
    <m/>
    <m/>
    <m/>
    <x v="0"/>
    <m/>
    <m/>
    <m/>
    <m/>
    <m/>
    <m/>
    <m/>
    <x v="0"/>
  </r>
  <r>
    <s v="Procure to Pay: Weekly Check Run"/>
    <m/>
    <m/>
    <m/>
    <m/>
    <m/>
    <m/>
    <x v="0"/>
    <m/>
    <m/>
    <m/>
    <m/>
    <m/>
    <m/>
    <m/>
    <x v="0"/>
  </r>
  <r>
    <s v="PTP65"/>
    <s v="Vendor Payment"/>
    <s v="Controller"/>
    <s v="Step 1"/>
    <s v="Weekly Check Run Process"/>
    <s v="Navigation: "/>
    <m/>
    <x v="7"/>
    <m/>
    <m/>
    <m/>
    <m/>
    <m/>
    <m/>
    <s v="OOB"/>
    <x v="2"/>
  </r>
  <r>
    <m/>
    <m/>
    <s v="Controller"/>
    <s v="Step 2"/>
    <m/>
    <s v="Controller to review and approve the list of bill to be released to make payments"/>
    <m/>
    <x v="7"/>
    <m/>
    <m/>
    <m/>
    <m/>
    <m/>
    <m/>
    <s v="OOB"/>
    <x v="2"/>
  </r>
  <r>
    <m/>
    <m/>
    <s v="Treasury Team"/>
    <s v="Step 3"/>
    <m/>
    <s v="1. Select the Bank Account, AP Account and enter the EFT reference note, Department, class and location_x000a_2. Select the bills from the list that needs to be paid_x000a_3. Click on Submit to make the payment_x000a_4. Remittance email is sent to the vendor copying the treasury team"/>
    <s v="1. Bill Payment is created succesfully_x000a_2. EFT text file is generated successfully_x000a_3. GL Impact: DB: AP &amp; CR: Cash"/>
    <x v="7"/>
    <m/>
    <m/>
    <m/>
    <m/>
    <m/>
    <m/>
    <s v="OOB"/>
    <x v="2"/>
  </r>
  <r>
    <m/>
    <m/>
    <m/>
    <s v="Step 4"/>
    <m/>
    <s v="Download the text file and upload in the bank portal"/>
    <m/>
    <x v="7"/>
    <m/>
    <m/>
    <m/>
    <m/>
    <m/>
    <m/>
    <s v="OOB"/>
    <x v="2"/>
  </r>
  <r>
    <s v="Procure to Pay: Bank Fees"/>
    <m/>
    <m/>
    <m/>
    <m/>
    <m/>
    <m/>
    <x v="0"/>
    <m/>
    <m/>
    <m/>
    <m/>
    <m/>
    <m/>
    <m/>
    <x v="0"/>
  </r>
  <r>
    <s v="PTP66"/>
    <s v="Vendor Payment"/>
    <s v="Treasury Team"/>
    <s v="Step 1"/>
    <s v="Bank Fees /  Bank Guarantee"/>
    <s v="Navigation: "/>
    <m/>
    <x v="4"/>
    <m/>
    <m/>
    <m/>
    <m/>
    <m/>
    <m/>
    <s v="OOB"/>
    <x v="1"/>
  </r>
  <r>
    <m/>
    <m/>
    <m/>
    <s v="Step 2"/>
    <m/>
    <s v="1. Enter the Subsidiary, Currency, Account, amount, Department, location, class and line description_x000a_2. Click on Save button to save the transaction"/>
    <s v="Confirm the GL impact: _x000a_DB: Cash; CR: AP"/>
    <x v="4"/>
    <m/>
    <m/>
    <m/>
    <m/>
    <s v="https://3657373-sb1.app.netsuite.com/app/accounting/transactions/journal.nl?id=3315&amp;whence=&amp;cmid=1768299249822_4053"/>
    <m/>
    <s v="OOB"/>
    <x v="1"/>
  </r>
  <r>
    <s v="Procure to Pay: Statement of Account from Vendor"/>
    <m/>
    <m/>
    <m/>
    <m/>
    <m/>
    <m/>
    <x v="0"/>
    <m/>
    <m/>
    <m/>
    <m/>
    <m/>
    <m/>
    <m/>
    <x v="0"/>
  </r>
  <r>
    <s v="PTP67"/>
    <s v="Statement of Account from Vendor"/>
    <s v="Finance Analyst"/>
    <s v="Step 1"/>
    <s v="Statement of Account from Vendor"/>
    <s v="To send email to Vendor to request the Statement of Account, the workflow to send email to vendor requesting for the Statement o Account every 30 days"/>
    <s v="Email is sent to the vendor"/>
    <x v="1"/>
    <m/>
    <m/>
    <m/>
    <m/>
    <m/>
    <m/>
    <s v="Workflow"/>
    <x v="1"/>
  </r>
  <r>
    <s v="Procure to Pay: Vendor Return Authorization"/>
    <m/>
    <m/>
    <m/>
    <m/>
    <m/>
    <m/>
    <x v="0"/>
    <m/>
    <m/>
    <m/>
    <m/>
    <m/>
    <m/>
    <m/>
    <x v="0"/>
  </r>
  <r>
    <s v="Procure to Pay: COGS &amp; Non-COGS Vendor Return Authorization"/>
    <m/>
    <m/>
    <m/>
    <m/>
    <m/>
    <m/>
    <x v="0"/>
    <m/>
    <m/>
    <m/>
    <m/>
    <m/>
    <m/>
    <m/>
    <x v="0"/>
  </r>
  <r>
    <s v="PTP68"/>
    <s v="Vendor Returns"/>
    <s v="Purchasing Team"/>
    <s v="Step 1"/>
    <s v="Vendor Returns"/>
    <s v="Navigation: "/>
    <m/>
    <x v="4"/>
    <m/>
    <m/>
    <m/>
    <m/>
    <m/>
    <m/>
    <s v="OOB"/>
    <x v="1"/>
  </r>
  <r>
    <m/>
    <m/>
    <m/>
    <s v="Step 2"/>
    <m/>
    <s v="1. If there are defective items, either partially receive the good quantities or if received fully, edit and remove the defective quantitities from the Item Receipt_x000a_2. Once the replacement quantity is received, receive the remaining quantities_x000a_3. Click on Save button to save the ecord"/>
    <s v="1. Check if the defective quantities are removed the IR_x000a_2. Replacement quantities are received and created as the IR"/>
    <x v="4"/>
    <s v="Pass"/>
    <m/>
    <m/>
    <m/>
    <s v="Item Receipt"/>
    <m/>
    <s v="OOB"/>
    <x v="1"/>
  </r>
  <r>
    <m/>
    <m/>
    <m/>
    <s v="Step 3"/>
    <m/>
    <s v="If the user wants to scrap the defective items and not return to vendor, then the user can do the negative inventory adjustment. _x000a_Navigation:_x000a_1. Select the Subsidiary, inventory adjustment reason, Inventory adjustment account_x000a_2. Under items subtab, Select the items which need to be adjusted and enter the adjustment quantity and serial number ( If applicable) and save the record"/>
    <s v="1. Check if the Inventory Adjustment is created successfully_x000a_2. GL Impact: DB: Inv Adj Account &amp; CR: Inventory Asset"/>
    <x v="4"/>
    <s v="Pass"/>
    <m/>
    <m/>
    <m/>
    <s v="Inventory Adjustment"/>
    <m/>
    <s v="OOB"/>
    <x v="1"/>
  </r>
  <r>
    <s v="Procure to Pay: Inventory Use Cases"/>
    <m/>
    <m/>
    <m/>
    <m/>
    <m/>
    <m/>
    <x v="0"/>
    <m/>
    <m/>
    <m/>
    <m/>
    <m/>
    <m/>
    <m/>
    <x v="0"/>
  </r>
  <r>
    <s v="Procure to Pay: Inventory Purchase Order"/>
    <m/>
    <m/>
    <m/>
    <m/>
    <m/>
    <m/>
    <x v="0"/>
    <m/>
    <m/>
    <m/>
    <m/>
    <m/>
    <m/>
    <m/>
    <x v="0"/>
  </r>
  <r>
    <s v="PTP69"/>
    <s v="Inventory Purchase Order"/>
    <s v="Inventory Manager"/>
    <s v="Step 1"/>
    <s v="Inventory Purchase Order"/>
    <s v="Navigation: "/>
    <m/>
    <x v="4"/>
    <s v="Pass"/>
    <s v="OOB"/>
    <s v="OOB"/>
    <s v="OOB"/>
    <m/>
    <s v="OOB"/>
    <s v="OOB"/>
    <x v="1"/>
  </r>
  <r>
    <m/>
    <m/>
    <s v="Inventory Manager"/>
    <s v="Step 2"/>
    <m/>
    <s v="1. To create the Purchase Order,  add the vendor in the vendor field, subsidiary, currency, items, quantity, rate and amount_x000a_2. Enter the Order Type_x000a_2. Click on Save button to save the record"/>
    <s v="PO is created successfully"/>
    <x v="4"/>
    <s v="Pass"/>
    <s v="OOB"/>
    <s v="OOB"/>
    <s v="OOB"/>
    <s v="PO10"/>
    <s v="OOB"/>
    <s v="OOB"/>
    <x v="1"/>
  </r>
  <r>
    <m/>
    <m/>
    <s v="Inventory Manager"/>
    <s v="Step 3"/>
    <m/>
    <s v=" Tax is not calculated for the Inventory Purchase Order. Inventory PO is applicable only for SIGOS Germany"/>
    <s v="tax is not calculated"/>
    <x v="4"/>
    <s v="Pass"/>
    <s v="OOB"/>
    <s v="OOB"/>
    <s v="OOB"/>
    <m/>
    <s v="OOB"/>
    <s v="OOB"/>
    <x v="1"/>
  </r>
  <r>
    <m/>
    <m/>
    <s v="Inventory Manager"/>
    <s v="Step 4"/>
    <m/>
    <s v="The Purchasing Manager clicks on button &quot;Submit for Approval&quot; to route the PO for approval to Inventory Manager"/>
    <m/>
    <x v="4"/>
    <s v="Pass"/>
    <s v="OOB"/>
    <s v="OOB"/>
    <s v="OOB"/>
    <s v="PO19"/>
    <s v="OOB"/>
    <s v="Workflow only for inventory items"/>
    <x v="1"/>
  </r>
  <r>
    <m/>
    <m/>
    <s v="Inventory Supervisor"/>
    <s v="Step 1"/>
    <s v="Inventory PO Approval"/>
    <s v="Inventory Manager review and approves the Purchase Order. Once approved, PO can be received"/>
    <s v="1. PO is approved, status is pending receipt_x000a_2. PO is ready for receiving"/>
    <x v="4"/>
    <s v="Pass"/>
    <m/>
    <m/>
    <m/>
    <m/>
    <m/>
    <s v="Workflow only for inventory items"/>
    <x v="1"/>
  </r>
  <r>
    <m/>
    <m/>
    <s v="Inventory Manager"/>
    <s v="Step 2"/>
    <m/>
    <s v="If the PO is rejected by Inventory Manager, the Purchasing Manager to review and resubmit the PO for approval again"/>
    <s v="1. PO is rejected and the status is Rejected"/>
    <x v="4"/>
    <s v="Pass"/>
    <m/>
    <m/>
    <m/>
    <m/>
    <m/>
    <s v="Workflow only for inventory items"/>
    <x v="1"/>
  </r>
  <r>
    <s v="Procure to Pay: Inventory Item Receipt"/>
    <m/>
    <m/>
    <m/>
    <m/>
    <m/>
    <m/>
    <x v="0"/>
    <m/>
    <m/>
    <m/>
    <m/>
    <m/>
    <m/>
    <m/>
    <x v="0"/>
  </r>
  <r>
    <s v="PTP70"/>
    <s v="Inventory Item Receipt"/>
    <s v="Inventory Manager &amp; Inventory Supervisor"/>
    <s v="Step 1"/>
    <s v="Inventory Item Receipt"/>
    <s v="Navigation: Transactions &gt; Purchases &gt; Receive Orders"/>
    <s v="Transactions &gt; Purchases &gt; Receive Orders"/>
    <x v="4"/>
    <s v="Pass"/>
    <s v="OOB"/>
    <s v="OOB"/>
    <s v="OOB"/>
    <m/>
    <s v="OOB"/>
    <s v="OOB"/>
    <x v="1"/>
  </r>
  <r>
    <m/>
    <m/>
    <m/>
    <s v="Step 2"/>
    <m/>
    <s v="1. Click on &quot;Receive&quot; button to receive the items_x000a_2. Enter the quantity to receive and the serial number if its Serial Item_x000a_3. then click on Save button to save the transaction"/>
    <s v="1. Check if the Item Receipt is created successfully_x000a_2. GL impact: DB: Inventory Asset; CR: Accrued Purchases"/>
    <x v="4"/>
    <s v="Pass"/>
    <s v="OOB"/>
    <s v="OOB"/>
    <s v="OOB"/>
    <s v="IR07"/>
    <s v="OOB"/>
    <s v="OOB"/>
    <x v="1"/>
  </r>
  <r>
    <s v="Procure to Pay: Inventory Vendor Bill"/>
    <m/>
    <m/>
    <m/>
    <m/>
    <m/>
    <m/>
    <x v="0"/>
    <m/>
    <m/>
    <m/>
    <m/>
    <m/>
    <m/>
    <m/>
    <x v="0"/>
  </r>
  <r>
    <s v="PTP71"/>
    <s v="Inventory Vendor Invoice"/>
    <s v="Inventory Manager"/>
    <s v="Step 1"/>
    <s v="Inventory Vendor Invoice"/>
    <s v="Navigation: Transactions &gt; Purchases &gt; Enter Bill"/>
    <m/>
    <x v="4"/>
    <s v="Pass"/>
    <s v="OOB"/>
    <s v="OOB"/>
    <s v="OOB"/>
    <m/>
    <s v="OOB"/>
    <s v="OOB"/>
    <x v="1"/>
  </r>
  <r>
    <m/>
    <m/>
    <m/>
    <s v="Step 2"/>
    <m/>
    <s v="1. Click on Bill button from the Purchase Order_x000a_2. All the information like vendor name, location, rate, Subsidiary, currency, date, and posting period will be automatically populated. _x000a_3. Enter other information and attach the file if there are any_x000a_4. Provide the reference number and save the record"/>
    <s v="Check if the Bill is successfully created and The Invoice is created for the total number of quantities received"/>
    <x v="4"/>
    <s v="Pass"/>
    <s v="OOB"/>
    <s v="OOB"/>
    <s v="OOB"/>
    <s v="Role based testing Bill #01"/>
    <s v="OOB"/>
    <s v="OOB"/>
    <x v="1"/>
  </r>
  <r>
    <m/>
    <m/>
    <m/>
    <s v="Step 4"/>
    <s v="Vendor Bill Approval"/>
    <s v="If the quantity, amount and location of the Purchase Order, GRN and Vendor Invoice are same, the Vendor Bill is auto approved. "/>
    <s v="Check if the Quantity, Amount and Location in PO, IR and VB are same"/>
    <x v="4"/>
    <m/>
    <m/>
    <m/>
    <m/>
    <s v="https://3657373-sb1.app.netsuite.com/app/accounting/transactions/vendbill.nl?id=3092&amp;whence=&amp;siaT=1768212767277&amp;siaWhc=%2Fapp%2Faccounting%2Ftransactions%2Fitemrcpt.nl&amp;siaNv=rr"/>
    <s v="OOB"/>
    <s v="OOB"/>
    <x v="1"/>
  </r>
  <r>
    <m/>
    <m/>
    <s v="Inventory Supervisor"/>
    <s v="Step 5"/>
    <m/>
    <s v="If there are any discrepancies in the quantity, amount and location of the Purchase Order, GRN and Vendor Invoice, then Vendor Invoice is routed to Supervisor for the approval. "/>
    <s v="Check if the Quantity, Amount and Location in PO, IR and VB are same"/>
    <x v="4"/>
    <s v="Pass"/>
    <m/>
    <m/>
    <m/>
    <s v="https://3657373-sb1.app.netsuite.com/app/accounting/transactions/vendbill.nl?id=374&amp;whence=&amp;cmid=1768212176230_34858"/>
    <m/>
    <s v="Workflow only for inventory items"/>
    <x v="1"/>
  </r>
  <r>
    <m/>
    <m/>
    <m/>
    <s v="Step 6"/>
    <m/>
    <s v="Once the Supervisor approve the Vendor Invoice, it will be posted "/>
    <s v="1. Vendor Bill is approved and posted_x000a_2. GL Impact: DB: Accrued Liability; CR; AP"/>
    <x v="4"/>
    <m/>
    <m/>
    <m/>
    <m/>
    <s v="https://3657373-sb1.app.netsuite.com/app/accounting/transactions/vendbill.nl?id=374&amp;whence=&amp;cmid=1768212176230_34859"/>
    <m/>
    <s v="Workflow only for inventory items"/>
    <x v="1"/>
  </r>
  <r>
    <m/>
    <m/>
    <m/>
    <s v="Step 7"/>
    <m/>
    <s v="Once the Invoice is approved and posted, the date on which on the invoice is posted will be captured in the Posting Date field (custom field) and the Payment Hold checkbox will be checked."/>
    <s v="Check if the Posting Date (approved date) is captured"/>
    <x v="4"/>
    <m/>
    <m/>
    <m/>
    <m/>
    <s v="https://3657373-sb1.app.netsuite.com/app/accounting/transactions/vendbill.nl?id=374&amp;whence=&amp;cmid=1768212176230_34860"/>
    <m/>
    <s v="Workflow only for inventory items"/>
    <x v="1"/>
  </r>
  <r>
    <s v="Procure to Pay: Inventory Vendor Return Authorization"/>
    <m/>
    <m/>
    <m/>
    <m/>
    <m/>
    <m/>
    <x v="0"/>
    <m/>
    <m/>
    <m/>
    <m/>
    <m/>
    <m/>
    <m/>
    <x v="0"/>
  </r>
  <r>
    <s v="Procure to Pay: Inventory Vendor Return Authorization - Non Repairable Returns"/>
    <m/>
    <m/>
    <m/>
    <m/>
    <m/>
    <m/>
    <x v="0"/>
    <m/>
    <m/>
    <m/>
    <m/>
    <m/>
    <m/>
    <m/>
    <x v="0"/>
  </r>
  <r>
    <s v="PTP72"/>
    <s v="Inventory Vendor Returns"/>
    <s v="Inventory Manager"/>
    <s v="Step 1"/>
    <s v="Vendor Returns"/>
    <s v="Navigation: "/>
    <m/>
    <x v="6"/>
    <s v="OOB"/>
    <s v="OOB"/>
    <s v="OOB"/>
    <s v="OOB"/>
    <m/>
    <s v="OOB"/>
    <s v="OOB"/>
    <x v="1"/>
  </r>
  <r>
    <m/>
    <m/>
    <m/>
    <s v="Step 2"/>
    <m/>
    <s v="1. To create the Vendor Return Authorization, enter the Vendor Name, Subsidiary, Currency, Items, Quantity, rate, Department, Class and location_x000a_2. Enter the Department, Class and Location under the segmentation_x000a_3. Click on Save to save the record"/>
    <s v="Vendor Return Authorization is successfully created and the status is Pending return"/>
    <x v="6"/>
    <s v="OOB"/>
    <s v="OOB"/>
    <s v="OOB"/>
    <s v="OOB"/>
    <s v="https://3657373-sb1.app.netsuite.com/app/accounting/transactions/vendauth.nl?id=3093&amp;whence=&amp;cmid=1768213000045_35090"/>
    <s v="OOB"/>
    <s v="OOB"/>
    <x v="1"/>
  </r>
  <r>
    <m/>
    <m/>
    <m/>
    <s v="Step 3"/>
    <s v="Item Fulfilment"/>
    <s v="Navigation: "/>
    <m/>
    <x v="4"/>
    <s v="OOB"/>
    <s v="OOB"/>
    <s v="OOB"/>
    <s v="OOB"/>
    <m/>
    <s v="OOB"/>
    <s v="OOB"/>
    <x v="1"/>
  </r>
  <r>
    <m/>
    <m/>
    <m/>
    <s v="Step 4"/>
    <m/>
    <s v="1. Click on &quot;Fulfill&quot; button from the Vendor Return Authorization record_x000a_2. Enter the quantity and Serial Number of the item to fulfil_x000a_3. Click on Save button to save the record"/>
    <s v="Confirm the GL impact: _x000a_DB: COGS; CR: Inventory"/>
    <x v="4"/>
    <s v="OOB"/>
    <s v="OOB"/>
    <s v="OOB"/>
    <s v="OOB"/>
    <s v="https://3657373-sb1.app.netsuite.com/app/accounting/transactions/itemship.nl?id=3097&amp;whence=&amp;siaT=1768213529624&amp;siaWhc=%2Fapp%2Faccounting%2Ftransactions%2Fvendauth.nl&amp;siaNv=rr"/>
    <s v="OOB"/>
    <s v="OOB"/>
    <x v="1"/>
  </r>
  <r>
    <m/>
    <m/>
    <s v="Finance Manager"/>
    <s v="Step 5"/>
    <s v="Bill Credit"/>
    <s v="Navigation: "/>
    <m/>
    <x v="4"/>
    <s v="OOB"/>
    <s v="OOB"/>
    <s v="OOB"/>
    <s v="OOB"/>
    <m/>
    <s v="OOB"/>
    <s v="OOB"/>
    <x v="1"/>
  </r>
  <r>
    <m/>
    <m/>
    <m/>
    <s v="Step 6"/>
    <m/>
    <s v="1. Click on &quot;Credit&quot; button from the Vendor Return Authorization_x000a_2. Review the details retreived from the vendor return record_x000a_3. Click on Save button to save the record"/>
    <s v="Confirm the GL impact: _x000a_DB: AP; CR: Expense"/>
    <x v="4"/>
    <s v="OOB"/>
    <s v="OOB"/>
    <s v="OOB"/>
    <s v="OOB"/>
    <s v="https://3657373-sb1.app.netsuite.com/app/accounting/transactions/vendcred.nl?id=3098&amp;whence=&amp;cmid=1768213588340_35216"/>
    <s v="OOB"/>
    <s v="OOB"/>
    <x v="1"/>
  </r>
  <r>
    <m/>
    <m/>
    <m/>
    <s v="Step 7"/>
    <m/>
    <s v="Then apply the Bill Credit against the open Bill"/>
    <m/>
    <x v="4"/>
    <s v="OOB"/>
    <s v="OOB"/>
    <s v="OOB"/>
    <s v="OOB"/>
    <m/>
    <s v="OOB"/>
    <s v="OOB"/>
    <x v="1"/>
  </r>
  <r>
    <s v="Procure to Pay: Inventory Vendor Return Authorization - Non Repairable Returns"/>
    <m/>
    <m/>
    <m/>
    <m/>
    <m/>
    <m/>
    <x v="0"/>
    <m/>
    <m/>
    <m/>
    <m/>
    <m/>
    <m/>
    <m/>
    <x v="0"/>
  </r>
  <r>
    <s v="PTP73"/>
    <s v="Inventory Vendor Returns"/>
    <s v="Inventory Manager"/>
    <s v="Step 1"/>
    <s v="Repairable Returns"/>
    <s v="Navigation: "/>
    <m/>
    <x v="4"/>
    <s v="OOB"/>
    <s v="OOB"/>
    <s v="OOB"/>
    <s v="OOB"/>
    <s v="https://3657373-sb1.app.netsuite.com/app/accounting/transactions/itemrcpt.nl?id=3309&amp;whence=&amp;cmid=1768298038058_3587"/>
    <s v="OOB"/>
    <s v="OOB"/>
    <x v="1"/>
  </r>
  <r>
    <m/>
    <m/>
    <m/>
    <s v="Step 2"/>
    <m/>
    <s v="1. If there are defective items, either partially receive the good quantities or if received fully, edit and remove the defective quantitities from the Item Receipt_x000a_2. Once the replacement quantity is received, receive the remaining quantities_x000a_3. Click on Save button to save the ecord"/>
    <s v="1. Check if the defective quantities are removed the IR_x000a_2. Replacement quantities are received and created as the IR"/>
    <x v="4"/>
    <s v="OOB"/>
    <s v="OOB"/>
    <s v="OOB"/>
    <s v="OOB"/>
    <s v="https://3657373-sb1.app.netsuite.com/app/accounting/transactions/itemrcpt.nl?id=3307&amp;whence=&amp;cmid=1768298008496_3539"/>
    <s v="OOB"/>
    <s v="OOB"/>
    <x v="1"/>
  </r>
  <r>
    <m/>
    <m/>
    <m/>
    <s v="Step 3"/>
    <m/>
    <s v="If the user wants to scrap the defective items and not return to vendor, then the user can do the negative inventory adjustment. "/>
    <s v="Check if the Inventory Adjustment is created successfully"/>
    <x v="4"/>
    <s v="OOB"/>
    <s v="OOB"/>
    <s v="OOB"/>
    <s v="OOB"/>
    <s v="https://3657373-sb1.app.netsuite.com/app/accounting/transactions/invadjst.nl?id=3312&amp;whence=&amp;cmid=1768298551075_3779"/>
    <s v="OOB"/>
    <s v="OOB"/>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n v="1"/>
    <d v="2026-02-23T00:00:00"/>
    <s v="Change the Sender Email for onboard URL &amp; for all Emails"/>
    <s v="Vendor Onboarding Form"/>
    <s v="Pugal"/>
    <x v="0"/>
  </r>
  <r>
    <n v="2"/>
    <d v="2026-02-23T00:00:00"/>
    <s v="Add PST next too expiry date "/>
    <s v="Vendor Onboarding Form"/>
    <s v="Pugal"/>
    <x v="1"/>
  </r>
  <r>
    <n v="3"/>
    <d v="2026-02-23T00:00:00"/>
    <s v="Report: Emails that are sent to vendor for onboarding form "/>
    <s v="Vendor Onboarding Form"/>
    <s v="Supraja"/>
    <x v="1"/>
  </r>
  <r>
    <n v="4"/>
    <d v="2026-02-23T00:00:00"/>
    <s v="MSME vendor - Terms default to Net45 "/>
    <s v="Vendor Onboarding Form"/>
    <s v="Pugal"/>
    <x v="1"/>
  </r>
  <r>
    <n v="5"/>
    <d v="2026-02-23T00:00:00"/>
    <s v="Change label of Billing Contact to - Finance Contact "/>
    <s v="Vendor Onboarding Form"/>
    <s v="Pugal"/>
    <x v="1"/>
  </r>
  <r>
    <n v="6"/>
    <d v="2026-02-23T00:00:00"/>
    <s v="Remove AR contact and replace with Vendor POC and have name and email address (repurpose the AR contact fields in NS)"/>
    <s v="Vendor Onboarding Form"/>
    <s v="Pugal"/>
    <x v="1"/>
  </r>
  <r>
    <n v="7"/>
    <d v="2026-02-23T00:00:00"/>
    <s v="default Bank detail country to Country "/>
    <s v="Vendor Onboarding Form"/>
    <s v="Pugal"/>
    <x v="1"/>
  </r>
  <r>
    <n v="8"/>
    <d v="2026-02-23T00:00:00"/>
    <s v="default bank account name to legal name "/>
    <s v="Vendor Onboarding Form"/>
    <s v="Pugal"/>
    <x v="1"/>
  </r>
  <r>
    <n v="9"/>
    <d v="2026-02-23T00:00:00"/>
    <s v="Add doc link options for different docs for vendor details &amp; bank"/>
    <s v="Vendor Onboarding Form"/>
    <s v="Pugal"/>
    <x v="0"/>
  </r>
  <r>
    <n v="10"/>
    <d v="2026-02-23T00:00:00"/>
    <s v="Vendor categories field - multi select "/>
    <s v="Vendor Onboarding Form"/>
    <s v="Pugal"/>
    <x v="1"/>
  </r>
  <r>
    <n v="11"/>
    <d v="2026-02-23T00:00:00"/>
    <s v="subsidiary in bank details - make it empty "/>
    <s v="Vendor Master"/>
    <s v="Pugal"/>
    <x v="1"/>
  </r>
  <r>
    <n v="12"/>
    <d v="2026-02-23T00:00:00"/>
    <s v="vendor validation - finance review - check email content "/>
    <s v="Email Template"/>
    <s v="Roselin"/>
    <x v="1"/>
  </r>
  <r>
    <n v="13"/>
    <d v="2026-02-23T00:00:00"/>
    <s v="Approval for additional bank details after vendor is being created"/>
    <s v="Vendor Bank Details"/>
    <s v="Roselin"/>
    <x v="0"/>
  </r>
  <r>
    <n v="14"/>
    <d v="2026-02-23T00:00:00"/>
    <s v="Report: vendor by GST details"/>
    <s v="Saved Search"/>
    <s v="Supraja"/>
    <x v="1"/>
  </r>
  <r>
    <n v="15"/>
    <d v="2026-02-23T00:00:00"/>
    <s v="Report: List of vendors created in UI"/>
    <s v="Saved Search"/>
    <s v="Supraja"/>
    <x v="1"/>
  </r>
  <r>
    <n v="16"/>
    <d v="2026-02-23T00:00:00"/>
    <s v="TAT Report: time between different process"/>
    <s v="Saved Search"/>
    <s v="Calvin"/>
    <x v="0"/>
  </r>
  <r>
    <n v="17"/>
    <d v="2026-02-23T00:00:00"/>
    <s v="vendor onboarding: SCM to send URL - Vendor fill details - submit form - vendor created in NS - SCM review - Finance review - D&amp;B screening confirmation - SCM to sync the vendor to D&amp;B - change the vendor sync to D&amp;B to SCM"/>
    <s v="Vendor Master"/>
    <s v="Roselin"/>
    <x v="0"/>
  </r>
  <r>
    <n v="18"/>
    <d v="2026-02-23T00:00:00"/>
    <s v="add extension days in onboard custom record and extend the URL"/>
    <s v="Custom Record"/>
    <s v="Pugal"/>
    <x v="1"/>
  </r>
  <r>
    <n v="19"/>
    <d v="2026-02-23T00:00:00"/>
    <s v="Onboarding status, SCM reviewed by &amp; finance review by - gray out "/>
    <s v="Vendor Master"/>
    <s v="Roselin"/>
    <x v="1"/>
  </r>
  <r>
    <n v="20"/>
    <d v="2026-02-23T00:00:00"/>
    <s v="report - vendor master audit trail (all the new changes made)"/>
    <s v="Saved Search"/>
    <s v="Supraja"/>
    <x v="1"/>
  </r>
  <r>
    <n v="21"/>
    <d v="2026-02-23T00:00:00"/>
    <s v="reorder country first and then state"/>
    <s v="Vendor Onboarding Form"/>
    <s v="Pugal"/>
    <x v="1"/>
  </r>
  <r>
    <n v="22"/>
    <d v="2026-02-23T00:00:00"/>
    <s v="business and finance contact - make it as first and last name"/>
    <s v="Vendor Onboarding Form"/>
    <s v="Pugal"/>
    <x v="1"/>
  </r>
  <r>
    <n v="23"/>
    <d v="2026-02-23T00:00:00"/>
    <s v="Share the email content of Onboarding Form to SCM team"/>
    <s v="Email Content"/>
    <s v="Roselin"/>
    <x v="2"/>
  </r>
  <r>
    <n v="24"/>
    <d v="2026-02-23T00:00:00"/>
    <s v="Share the email content of SCM Analyst Aopproval to SCM team"/>
    <s v="Email Content"/>
    <s v="Roselin"/>
    <x v="2"/>
  </r>
  <r>
    <n v="25"/>
    <d v="2026-02-23T00:00:00"/>
    <s v="Share the email content of Bill Payment to Treasury Team"/>
    <s v="Email Content"/>
    <s v="Roselin"/>
    <x v="2"/>
  </r>
  <r>
    <n v="66"/>
    <d v="2026-02-23T00:00:00"/>
    <s v="Send the list of documents to be uplaoded by the vendor for the vendor onboarding details and bank details"/>
    <m/>
    <s v="Agnelo"/>
    <x v="0"/>
  </r>
  <r>
    <n v="71"/>
    <d v="2026-02-23T00:00:00"/>
    <s v="Send the Sender Email &amp; Email Content for onboard URL &amp; for all Emails"/>
    <m/>
    <s v="Agnelo"/>
    <x v="0"/>
  </r>
  <r>
    <n v="26"/>
    <d v="2026-02-24T00:00:00"/>
    <s v="Date in PR gray Out"/>
    <s v="Purchase Requisitions"/>
    <s v="Roselin"/>
    <x v="1"/>
  </r>
  <r>
    <n v="27"/>
    <d v="2026-02-24T00:00:00"/>
    <s v="Suggested vendor - Remove Mandatory"/>
    <s v="Purchase Requisitions"/>
    <s v="Roselin"/>
    <x v="1"/>
  </r>
  <r>
    <n v="28"/>
    <d v="2026-02-24T00:00:00"/>
    <s v="Send Rejection Email to Requestors"/>
    <s v="Purchase Requisitions"/>
    <s v="Calvin"/>
    <x v="0"/>
  </r>
  <r>
    <n v="29"/>
    <d v="2026-02-24T00:00:00"/>
    <s v="Color difference between New / Resubmitted - Saved Search"/>
    <s v="Saved Search"/>
    <s v="Supraja"/>
    <x v="1"/>
  </r>
  <r>
    <n v="30"/>
    <d v="2026-02-24T00:00:00"/>
    <s v="Add Tax Items &amp; Freight Items in PR &amp; test"/>
    <s v="Purchase Requisitions"/>
    <s v="Roselin"/>
    <x v="0"/>
  </r>
  <r>
    <n v="31"/>
    <d v="2026-02-24T00:00:00"/>
    <s v="Throw alert if the non operating susbidiary is selected"/>
    <s v="Purchase Requisitions"/>
    <s v="Pugal"/>
    <x v="0"/>
  </r>
  <r>
    <n v="32"/>
    <d v="2026-02-24T00:00:00"/>
    <s v="Share the COGS Approval Matrix to SCM Team"/>
    <s v="Approval Matrix"/>
    <s v="Roselin"/>
    <x v="0"/>
  </r>
  <r>
    <n v="33"/>
    <d v="2026-02-24T00:00:00"/>
    <s v="Add Estimated Total in USD field and do the calculation"/>
    <s v="Purchase Requisitions"/>
    <s v="Roselin"/>
    <x v="1"/>
  </r>
  <r>
    <n v="34"/>
    <d v="2026-02-24T00:00:00"/>
    <s v="Change the COGS approval based on Estimated Total in USD"/>
    <s v="Purchase Requisitions"/>
    <s v="Roselin"/>
    <x v="1"/>
  </r>
  <r>
    <n v="35"/>
    <d v="2026-02-24T00:00:00"/>
    <s v="Approval Resubmission should start from SCM Analyst"/>
    <s v="Purchase Requisitions"/>
    <s v="Roselin"/>
    <x v="1"/>
  </r>
  <r>
    <n v="54"/>
    <d v="2026-02-24T00:00:00"/>
    <s v="Route the Approval for Payment Terms only when updates Term is less than the Default Term in Vendor Master"/>
    <s v="Purchase Requisitions"/>
    <s v="Pugal"/>
    <x v="0"/>
  </r>
  <r>
    <n v="65"/>
    <d v="2026-02-24T00:00:00"/>
    <s v="Provide the List of Operating subsidiaries"/>
    <m/>
    <s v="Agnelo"/>
    <x v="0"/>
  </r>
  <r>
    <n v="36"/>
    <d v="2026-02-25T00:00:00"/>
    <s v="Rename AP Manager to AP Analyst"/>
    <s v="Role"/>
    <s v="Roselin"/>
    <x v="1"/>
  </r>
  <r>
    <n v="37"/>
    <d v="2026-02-25T00:00:00"/>
    <s v="Make Project mandatory if Order Type = COGS"/>
    <s v="Purchase Requisitions"/>
    <s v="Calvin"/>
    <x v="1"/>
  </r>
  <r>
    <n v="38"/>
    <d v="2026-02-25T00:00:00"/>
    <s v="Make Department mandatory if Order Type = Non COGS"/>
    <s v="Purchase Requisitions"/>
    <s v="Roselin"/>
    <x v="1"/>
  </r>
  <r>
    <n v="39"/>
    <d v="2026-02-25T00:00:00"/>
    <s v="Add Item Category to the transaction line"/>
    <s v="Purchase Requisitions"/>
    <s v="Calvin"/>
    <x v="1"/>
  </r>
  <r>
    <n v="40"/>
    <d v="2026-02-25T00:00:00"/>
    <s v="PO# -- 8 digits"/>
    <s v="Purchase Order"/>
    <s v="Supraja"/>
    <x v="1"/>
  </r>
  <r>
    <n v="41"/>
    <d v="2026-02-25T00:00:00"/>
    <s v="Rename Accrues Purchases account to GR/IR Clearing Account"/>
    <s v="Account"/>
    <s v="Supraja"/>
    <x v="1"/>
  </r>
  <r>
    <n v="42"/>
    <d v="2026-02-25T00:00:00"/>
    <s v="Remove / Hide Rate in IR for Purchase Requestor role"/>
    <s v="Item Receipt"/>
    <s v="Supraja"/>
    <x v="1"/>
  </r>
  <r>
    <n v="43"/>
    <d v="2026-02-25T00:00:00"/>
    <s v="Restrict Supervisor from approving if the 3 way is not matching"/>
    <s v="Bill"/>
    <s v="Pugal"/>
    <x v="0"/>
  </r>
  <r>
    <n v="44"/>
    <d v="2026-02-25T00:00:00"/>
    <s v="Add CSV &amp; Excel download option in Release Payment Suitelet Page"/>
    <s v="Release Payment"/>
    <s v="Prasanth"/>
    <x v="1"/>
  </r>
  <r>
    <n v="45"/>
    <d v="2026-02-25T00:00:00"/>
    <s v="Add Amount in USD in Release Payment suitelet page"/>
    <s v="Release Payment"/>
    <s v="Prasanth"/>
    <x v="1"/>
  </r>
  <r>
    <n v="46"/>
    <d v="2026-02-25T00:00:00"/>
    <s v="Add Mark All &amp; should be visible only for Treasury Head"/>
    <s v="Release Payment"/>
    <s v="Prasanth"/>
    <x v="0"/>
  </r>
  <r>
    <n v="47"/>
    <d v="2026-02-25T00:00:00"/>
    <s v="Customize the Bill Payment PDF"/>
    <s v="PDF Template"/>
    <s v="Pugal"/>
    <x v="3"/>
  </r>
  <r>
    <n v="48"/>
    <d v="2026-02-25T00:00:00"/>
    <s v="Customize the PO PDF"/>
    <s v="PDF Template"/>
    <s v="Pugal"/>
    <x v="1"/>
  </r>
  <r>
    <n v="49"/>
    <d v="2026-02-25T00:00:00"/>
    <s v="Add the email content for Bill Payment to the email template"/>
    <s v="Email Template"/>
    <s v="Roselin"/>
    <x v="0"/>
  </r>
  <r>
    <n v="50"/>
    <d v="2026-02-25T00:00:00"/>
    <s v="Share the PO PDF copy with SCM Team"/>
    <s v="Email Content"/>
    <s v="Roselin"/>
    <x v="2"/>
  </r>
  <r>
    <n v="51"/>
    <d v="2026-02-25T00:00:00"/>
    <s v="Send the list of countries that has WHT Tax"/>
    <s v="Tax"/>
    <s v="Agnelo"/>
    <x v="0"/>
  </r>
  <r>
    <n v="52"/>
    <d v="2026-02-25T00:00:00"/>
    <s v="Test the COGS Approval Process - End to End"/>
    <s v="Purchase Requisitions"/>
    <s v="Calvin, Supraja, Pugal &amp; Roselin"/>
    <x v="4"/>
  </r>
  <r>
    <n v="53"/>
    <d v="2026-02-25T00:00:00"/>
    <s v="Lock the PR after the submitted for approval &amp; after the PR is approved"/>
    <s v="Purchase Requisitions"/>
    <s v="Calvin"/>
    <x v="1"/>
  </r>
  <r>
    <n v="67"/>
    <d v="2026-02-25T00:00:00"/>
    <s v="Budget Creation &amp; Validation confirmation for COGS"/>
    <m/>
    <s v="Agnelo"/>
    <x v="0"/>
  </r>
  <r>
    <n v="55"/>
    <d v="2026-02-26T00:00:00"/>
    <s v="Item Naming Convention - Need Confirmation from SCM"/>
    <s v="Item"/>
    <s v="Anurag"/>
    <x v="0"/>
  </r>
  <r>
    <n v="56"/>
    <d v="2026-02-26T00:00:00"/>
    <s v="3 Way Match Confirmation - Need Confirmation from Agnelo"/>
    <m/>
    <s v="Agnelo"/>
    <x v="0"/>
  </r>
  <r>
    <n v="57"/>
    <d v="2026-02-26T00:00:00"/>
    <s v="Report: List of PO - Default Terms vs PO Terms"/>
    <s v="PDF Template"/>
    <s v="Supraja"/>
    <x v="1"/>
  </r>
  <r>
    <n v="69"/>
    <d v="2026-02-26T00:00:00"/>
    <s v="Send the Bill Payment PDF to customize"/>
    <m/>
    <s v="Agnelo"/>
    <x v="0"/>
  </r>
  <r>
    <n v="78"/>
    <d v="2026-02-26T00:00:00"/>
    <s v="Send the TAT Report"/>
    <m/>
    <s v="Anurag"/>
    <x v="0"/>
  </r>
  <r>
    <n v="58"/>
    <d v="2026-02-27T00:00:00"/>
    <s v="Rename Item Receitp to Good Receipt (GR)"/>
    <m/>
    <s v="Supraja"/>
    <x v="1"/>
  </r>
  <r>
    <n v="59"/>
    <d v="2026-02-27T00:00:00"/>
    <s v="Rename Vendor Bill to Vendor Invoice (VI)"/>
    <m/>
    <s v="Supraja"/>
    <x v="1"/>
  </r>
  <r>
    <n v="60"/>
    <d v="2026-02-27T00:00:00"/>
    <s v="Relabel Transaction Date to Invoice Date"/>
    <m/>
    <s v="Supraja"/>
    <x v="1"/>
  </r>
  <r>
    <n v="61"/>
    <d v="2026-02-27T00:00:00"/>
    <s v="Add a field called Creation Date and map the date on which the Bill is created"/>
    <m/>
    <s v="Supraja"/>
    <x v="1"/>
  </r>
  <r>
    <n v="62"/>
    <d v="2026-02-27T00:00:00"/>
    <s v="Send Automatic emails to vendor for Statement of Account for selective vendors"/>
    <m/>
    <s v="Pugal"/>
    <x v="0"/>
  </r>
  <r>
    <n v="63"/>
    <d v="2026-02-27T00:00:00"/>
    <s v="Send on Demand emails to vendor for Statement of Account"/>
    <m/>
    <s v="Pugal"/>
    <x v="0"/>
  </r>
  <r>
    <n v="64"/>
    <d v="2026-02-27T00:00:00"/>
    <s v="AP Aging Report - Add Posting Date to the report"/>
    <m/>
    <s v="Supraja"/>
    <x v="1"/>
  </r>
  <r>
    <n v="68"/>
    <d v="2026-02-27T00:00:00"/>
    <s v="Confirm Roles"/>
    <m/>
    <s v="Agnelo"/>
    <x v="0"/>
  </r>
  <r>
    <n v="70"/>
    <d v="2026-02-27T00:00:00"/>
    <s v="Send list of vendors for whom the Automatic emails for vendor for Statement of Account to be sent- to be managed internally"/>
    <m/>
    <s v="Agnelo"/>
    <x v="1"/>
  </r>
  <r>
    <n v="79"/>
    <d v="2026-02-27T00:00:00"/>
    <s v="Enable EFT for Vendor Prepayment"/>
    <m/>
    <s v="Roselin"/>
    <x v="0"/>
  </r>
  <r>
    <n v="80"/>
    <d v="2026-02-27T00:00:00"/>
    <s v="rename transaction date to document date"/>
    <m/>
    <s v="Supraja"/>
    <x v="0"/>
  </r>
  <r>
    <n v="81"/>
    <d v="2026-02-27T00:00:00"/>
    <s v="Send email to the Creator when the PO is approved and asking them to receive the items"/>
    <m/>
    <s v="Calvin"/>
    <x v="0"/>
  </r>
  <r>
    <n v="82"/>
    <d v="2026-02-27T00:00:00"/>
    <s v="Saved Search: list of vendor invoices created but receipt is not done"/>
    <m/>
    <s v="Supraja"/>
    <x v="0"/>
  </r>
  <r>
    <n v="83"/>
    <d v="2026-02-27T00:00:00"/>
    <s v="42-AP vendor history payment history report to cover payment details, invoice details, debitcredit note details, GL account, department"/>
    <m/>
    <s v="Supraja"/>
    <x v="0"/>
  </r>
  <r>
    <n v="84"/>
    <d v="2026-02-27T00:00:00"/>
    <s v="Customize the AP aging to add the posting date"/>
    <m/>
    <s v="Supraja"/>
    <x v="0"/>
  </r>
  <r>
    <n v="72"/>
    <d v="2026-03-02T00:00:00"/>
    <s v="Deferred COGS to COGS automation"/>
    <m/>
    <s v="Pugal"/>
    <x v="0"/>
  </r>
  <r>
    <n v="73"/>
    <d v="2026-03-02T00:00:00"/>
    <s v="Non COGS PR Approval - Dev"/>
    <m/>
    <s v="Prasanth"/>
    <x v="0"/>
  </r>
  <r>
    <n v="74"/>
    <d v="2026-03-02T00:00:00"/>
    <s v="Non COGS PR Approval - Testing"/>
    <m/>
    <s v="Calvin, Prasanth, Supraja, Pugal &amp; Roselin"/>
    <x v="0"/>
  </r>
  <r>
    <n v="75"/>
    <d v="2026-03-02T00:00:00"/>
    <s v="Non PO Bill Approval - Dev"/>
    <m/>
    <s v="Calvin"/>
    <x v="0"/>
  </r>
  <r>
    <n v="76"/>
    <d v="2026-03-02T00:00:00"/>
    <s v="Non PO Bill Approval - Testing"/>
    <m/>
    <s v="Calvin, Prasanth, Supraja, Pugal &amp; Roselin"/>
    <x v="0"/>
  </r>
  <r>
    <n v="77"/>
    <d v="2026-03-02T00:00:00"/>
    <s v="EFT Templates - Dev"/>
    <m/>
    <s v="Vishal"/>
    <x v="3"/>
  </r>
  <r>
    <n v="85"/>
    <d v="2026-03-03T00:00:00"/>
    <s v="14-5. Consolidated-AP_Aging_Report "/>
    <m/>
    <s v="Supraja"/>
    <x v="0"/>
  </r>
  <r>
    <n v="86"/>
    <d v="2026-03-03T00:00:00"/>
    <s v="16-7. Account Details by Entity"/>
    <m/>
    <s v="Supraja"/>
    <x v="0"/>
  </r>
  <r>
    <n v="87"/>
    <d v="2026-03-03T00:00:00"/>
    <s v="21-16. Global entity level open bank guarantees report with start and end date"/>
    <m/>
    <s v="Supraja"/>
    <x v="0"/>
  </r>
  <r>
    <n v="88"/>
    <d v="2026-03-03T00:00:00"/>
    <s v="34-10 Vendor PO summary Report- At Consolidated and Entity levels"/>
    <m/>
    <s v="Supraja"/>
    <x v="0"/>
  </r>
  <r>
    <n v="89"/>
    <d v="2026-03-03T00:00:00"/>
    <s v="35-11 Vendor PO based purchases report- At Consolidated and Entity levels"/>
    <m/>
    <s v="Supraja"/>
    <x v="0"/>
  </r>
  <r>
    <n v="90"/>
    <d v="2026-03-03T00:00:00"/>
    <s v="36-12. Inventory Report (Nio, Sigos etc)-At Consolidated and Entity levels"/>
    <m/>
    <s v="Supraja"/>
    <x v="0"/>
  </r>
  <r>
    <n v="91"/>
    <d v="2026-03-03T00:00:00"/>
    <s v="39. Vendor Bank accounts report"/>
    <m/>
    <s v="Supraja"/>
    <x v="0"/>
  </r>
  <r>
    <n v="92"/>
    <d v="2026-03-03T00:00:00"/>
    <s v="48 GRIR Report - PO report with missing invoice entry GR entry"/>
    <m/>
    <s v="Supraja"/>
    <x v="0"/>
  </r>
  <r>
    <n v="93"/>
    <d v="2026-03-03T00:00:00"/>
    <s v="51-GL Dump with Vendor name &amp; Service description"/>
    <m/>
    <s v="Supraja"/>
    <x v="0"/>
  </r>
  <r>
    <n v="94"/>
    <d v="2026-03-03T00:00:00"/>
    <s v="70 - Monthly transactions data requirements"/>
    <m/>
    <s v="Supraja"/>
    <x v="0"/>
  </r>
  <r>
    <n v="95"/>
    <d v="2026-03-03T00:00:00"/>
    <s v="72.Inventory Listing Report as on 5th Jan 26"/>
    <m/>
    <s v="Supraja"/>
    <x v="0"/>
  </r>
  <r>
    <n v="96"/>
    <d v="2026-03-03T00:00:00"/>
    <s v="73.Inventory Class Report as on 5th Jan 26"/>
    <m/>
    <s v="Supraja"/>
    <x v="0"/>
  </r>
  <r>
    <n v="97"/>
    <d v="2026-03-03T00:00:00"/>
    <s v="76 - Vendor Master (entity wise)"/>
    <m/>
    <s v="Supraja"/>
    <x v="0"/>
  </r>
  <r>
    <n v="98"/>
    <d v="2026-03-03T00:00:00"/>
    <s v="78. SPEND REPORT"/>
    <m/>
    <s v="Supraja"/>
    <x v="0"/>
  </r>
  <r>
    <n v="99"/>
    <d v="2026-03-03T00:00:00"/>
    <s v="79. ITEM_DETAILS_PROJECT_LEVEL"/>
    <m/>
    <s v="Supraja"/>
    <x v="0"/>
  </r>
  <r>
    <n v="100"/>
    <d v="2026-03-03T00:00:00"/>
    <s v="80 Sigos GmbH_ JE_Inventory valuation_31st dec'25&amp; inventory valuation"/>
    <m/>
    <s v="Supraja"/>
    <x v="0"/>
  </r>
  <r>
    <n v="101"/>
    <d v="2026-03-03T00:00:00"/>
    <s v="93 SAVINGS DASHBOARD"/>
    <m/>
    <s v="Roselin"/>
    <x v="0"/>
  </r>
  <r>
    <n v="102"/>
    <m/>
    <m/>
    <m/>
    <m/>
    <x v="5"/>
  </r>
  <r>
    <n v="103"/>
    <m/>
    <m/>
    <m/>
    <m/>
    <x v="5"/>
  </r>
  <r>
    <n v="104"/>
    <m/>
    <m/>
    <m/>
    <m/>
    <x v="5"/>
  </r>
  <r>
    <n v="105"/>
    <m/>
    <m/>
    <m/>
    <m/>
    <x v="5"/>
  </r>
  <r>
    <n v="106"/>
    <m/>
    <m/>
    <m/>
    <m/>
    <x v="5"/>
  </r>
  <r>
    <n v="107"/>
    <m/>
    <m/>
    <m/>
    <m/>
    <x v="5"/>
  </r>
  <r>
    <n v="108"/>
    <m/>
    <m/>
    <m/>
    <m/>
    <x v="5"/>
  </r>
  <r>
    <n v="109"/>
    <m/>
    <m/>
    <m/>
    <m/>
    <x v="5"/>
  </r>
  <r>
    <n v="110"/>
    <m/>
    <m/>
    <m/>
    <m/>
    <x v="5"/>
  </r>
  <r>
    <n v="111"/>
    <m/>
    <m/>
    <m/>
    <m/>
    <x v="5"/>
  </r>
  <r>
    <n v="112"/>
    <m/>
    <m/>
    <m/>
    <m/>
    <x v="5"/>
  </r>
  <r>
    <n v="113"/>
    <m/>
    <m/>
    <m/>
    <m/>
    <x v="5"/>
  </r>
  <r>
    <m/>
    <m/>
    <m/>
    <m/>
    <m/>
    <x v="5"/>
  </r>
  <r>
    <m/>
    <m/>
    <m/>
    <m/>
    <m/>
    <x v="5"/>
  </r>
  <r>
    <m/>
    <m/>
    <m/>
    <m/>
    <m/>
    <x v="5"/>
  </r>
  <r>
    <m/>
    <m/>
    <m/>
    <m/>
    <m/>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n v="1"/>
    <d v="2026-02-23T00:00:00"/>
    <s v="Change the Sender Email for onboard URL &amp; for all Emails"/>
    <s v="Vendor Onboarding Form"/>
    <x v="0"/>
    <x v="0"/>
    <s v="Script"/>
    <s v="Zenardy"/>
  </r>
  <r>
    <n v="2"/>
    <d v="2026-02-23T00:00:00"/>
    <s v="Add PST next too expiry date "/>
    <s v="Vendor Onboarding Form"/>
    <x v="0"/>
    <x v="1"/>
    <s v="Script"/>
    <s v="Zenardy"/>
  </r>
  <r>
    <n v="3"/>
    <d v="2026-02-23T00:00:00"/>
    <s v="Report: Emails that are sent to vendor for onboarding form "/>
    <s v="Vendor Onboarding Form"/>
    <x v="1"/>
    <x v="1"/>
    <s v="UI"/>
    <s v="Zenardy"/>
  </r>
  <r>
    <n v="4"/>
    <d v="2026-02-23T00:00:00"/>
    <s v="MSME vendor - Terms default to Net45 "/>
    <s v="Vendor Onboarding Form"/>
    <x v="0"/>
    <x v="1"/>
    <s v="Script"/>
    <s v="Zenardy"/>
  </r>
  <r>
    <n v="5"/>
    <d v="2026-02-23T00:00:00"/>
    <s v="Change label of Billing Contact to - Finance Contact "/>
    <s v="Vendor Onboarding Form"/>
    <x v="0"/>
    <x v="1"/>
    <s v="Script"/>
    <s v="Zenardy"/>
  </r>
  <r>
    <n v="6"/>
    <d v="2026-02-23T00:00:00"/>
    <s v="Remove AR contact and replace with Vendor POC and have name and email address (repurpose the AR contact fields in NS)"/>
    <s v="Vendor Onboarding Form"/>
    <x v="0"/>
    <x v="1"/>
    <s v="Script"/>
    <s v="Zenardy"/>
  </r>
  <r>
    <n v="7"/>
    <d v="2026-02-23T00:00:00"/>
    <s v="default Bank detail country to Country "/>
    <s v="Vendor Onboarding Form"/>
    <x v="0"/>
    <x v="1"/>
    <s v="Script"/>
    <s v="Zenardy"/>
  </r>
  <r>
    <n v="8"/>
    <d v="2026-02-23T00:00:00"/>
    <s v="default bank account name to legal name "/>
    <s v="Vendor Onboarding Form"/>
    <x v="0"/>
    <x v="1"/>
    <s v="Script"/>
    <s v="Zenardy"/>
  </r>
  <r>
    <n v="9"/>
    <d v="2026-02-23T00:00:00"/>
    <s v="Add doc link options for different docs for vendor details &amp; bank"/>
    <s v="Vendor Onboarding Form"/>
    <x v="0"/>
    <x v="0"/>
    <s v="Script"/>
    <s v="Zenardy"/>
  </r>
  <r>
    <n v="10"/>
    <d v="2026-02-23T00:00:00"/>
    <s v="Vendor categories field - multi select "/>
    <s v="Vendor Onboarding Form"/>
    <x v="0"/>
    <x v="1"/>
    <s v="Script"/>
    <s v="Zenardy"/>
  </r>
  <r>
    <n v="11"/>
    <d v="2026-02-23T00:00:00"/>
    <s v="subsidiary in bank details - make it empty "/>
    <s v="Vendor Master"/>
    <x v="0"/>
    <x v="1"/>
    <s v="Script"/>
    <s v="Zenardy"/>
  </r>
  <r>
    <n v="12"/>
    <d v="2026-02-23T00:00:00"/>
    <s v="vendor validation - finance review - check email content "/>
    <s v="Email Template"/>
    <x v="2"/>
    <x v="1"/>
    <s v="UI"/>
    <s v="Zenardy"/>
  </r>
  <r>
    <n v="13"/>
    <d v="2026-02-23T00:00:00"/>
    <s v="Approval for additional bank details after vendor is being created"/>
    <s v="Vendor Bank Details"/>
    <x v="2"/>
    <x v="0"/>
    <s v="Workflow"/>
    <s v="Zenardy"/>
  </r>
  <r>
    <n v="14"/>
    <d v="2026-02-23T00:00:00"/>
    <s v="Report: vendor by GST details"/>
    <s v="Saved Search"/>
    <x v="1"/>
    <x v="1"/>
    <s v="UI"/>
    <s v="Zenardy"/>
  </r>
  <r>
    <n v="15"/>
    <d v="2026-02-23T00:00:00"/>
    <s v="Report: List of vendors created in UI"/>
    <s v="Saved Search"/>
    <x v="1"/>
    <x v="1"/>
    <s v="UI"/>
    <s v="Zenardy"/>
  </r>
  <r>
    <n v="16"/>
    <d v="2026-02-23T00:00:00"/>
    <s v="TAT Report: time between different process"/>
    <s v="Saved Search"/>
    <x v="3"/>
    <x v="0"/>
    <s v="UI"/>
    <s v="Zenardy"/>
  </r>
  <r>
    <n v="17"/>
    <d v="2026-02-23T00:00:00"/>
    <s v="vendor onboarding: SCM to send URL - Vendor fill details - submit form - vendor created in NS - SCM review - Finance review - D&amp;B screening confirmation - SCM to sync the vendor to D&amp;B - change the vendor sync to D&amp;B to SCM"/>
    <s v="Vendor Master"/>
    <x v="2"/>
    <x v="0"/>
    <s v="Workflow"/>
    <s v="Zenardy"/>
  </r>
  <r>
    <n v="18"/>
    <d v="2026-02-23T00:00:00"/>
    <s v="add extension days in onboard custom record and extend the URL"/>
    <s v="Custom Record"/>
    <x v="0"/>
    <x v="1"/>
    <s v="Script"/>
    <s v="Zenardy"/>
  </r>
  <r>
    <n v="19"/>
    <d v="2026-02-23T00:00:00"/>
    <s v="Onboarding status, SCM reviewed by &amp; finance review by - gray out "/>
    <s v="Vendor Master"/>
    <x v="2"/>
    <x v="1"/>
    <s v="UI"/>
    <s v="Zenardy"/>
  </r>
  <r>
    <n v="20"/>
    <d v="2026-02-23T00:00:00"/>
    <s v="report - vendor master audit trail (all the new changes made)"/>
    <s v="Saved Search"/>
    <x v="1"/>
    <x v="1"/>
    <s v="UI"/>
    <s v="Zenardy"/>
  </r>
  <r>
    <n v="21"/>
    <d v="2026-02-23T00:00:00"/>
    <s v="reorder country first and then state"/>
    <s v="Vendor Onboarding Form"/>
    <x v="0"/>
    <x v="1"/>
    <s v="Script"/>
    <s v="Zenardy"/>
  </r>
  <r>
    <n v="22"/>
    <d v="2026-02-23T00:00:00"/>
    <s v="business and finance contact - make it as first and last name"/>
    <s v="Vendor Onboarding Form"/>
    <x v="0"/>
    <x v="1"/>
    <s v="Script"/>
    <s v="Zenardy"/>
  </r>
  <r>
    <n v="23"/>
    <d v="2026-02-23T00:00:00"/>
    <s v="Share the email content of Onboarding Form to SCM team"/>
    <s v="Email Content"/>
    <x v="2"/>
    <x v="2"/>
    <m/>
    <s v="Zenardy"/>
  </r>
  <r>
    <n v="24"/>
    <d v="2026-02-23T00:00:00"/>
    <s v="Share the email content of SCM Analyst Aopproval to SCM team"/>
    <s v="Email Content"/>
    <x v="2"/>
    <x v="2"/>
    <m/>
    <s v="Zenardy"/>
  </r>
  <r>
    <n v="25"/>
    <d v="2026-02-23T00:00:00"/>
    <s v="Share the email content of Bill Payment to Treasury Team"/>
    <s v="Email Content"/>
    <x v="2"/>
    <x v="2"/>
    <m/>
    <s v="Zenardy"/>
  </r>
  <r>
    <n v="66"/>
    <d v="2026-02-23T00:00:00"/>
    <s v="Send the list of documents to be uplaoded by the vendor for the vendor onboarding details and bank details"/>
    <m/>
    <x v="4"/>
    <x v="0"/>
    <m/>
    <s v="Mobileum"/>
  </r>
  <r>
    <n v="71"/>
    <d v="2026-02-23T00:00:00"/>
    <s v="Send the Sender Email &amp; Email Content for onboard URL &amp; for all Emails"/>
    <m/>
    <x v="4"/>
    <x v="0"/>
    <m/>
    <s v="Mobileum"/>
  </r>
  <r>
    <n v="26"/>
    <d v="2026-02-24T00:00:00"/>
    <s v="Date in PR gray Out"/>
    <s v="Purchase Requisitions"/>
    <x v="2"/>
    <x v="1"/>
    <s v="Form"/>
    <s v="Zenardy"/>
  </r>
  <r>
    <n v="27"/>
    <d v="2026-02-24T00:00:00"/>
    <s v="Suggested vendor - Remove Mandatory"/>
    <s v="Purchase Requisitions"/>
    <x v="2"/>
    <x v="1"/>
    <s v="Form"/>
    <s v="Zenardy"/>
  </r>
  <r>
    <n v="28"/>
    <d v="2026-02-24T00:00:00"/>
    <s v="Send Rejection Email to Requestors"/>
    <s v="Purchase Requisitions"/>
    <x v="3"/>
    <x v="0"/>
    <s v="Workflow"/>
    <s v="Zenardy"/>
  </r>
  <r>
    <n v="29"/>
    <d v="2026-02-24T00:00:00"/>
    <s v="Color difference between New / Resubmitted - Saved Search"/>
    <s v="Saved Search"/>
    <x v="1"/>
    <x v="1"/>
    <s v="UI"/>
    <s v="Zenardy"/>
  </r>
  <r>
    <n v="30"/>
    <d v="2026-02-24T00:00:00"/>
    <s v="Add Tax Items &amp; Freight Items in PR &amp; test"/>
    <s v="Purchase Requisitions"/>
    <x v="2"/>
    <x v="0"/>
    <s v="UI"/>
    <s v="Zenardy"/>
  </r>
  <r>
    <n v="31"/>
    <d v="2026-02-24T00:00:00"/>
    <s v="Throw alert if the non operating susbidiary is selected"/>
    <s v="Purchase Requisitions"/>
    <x v="0"/>
    <x v="0"/>
    <s v="Script"/>
    <s v="Zenardy"/>
  </r>
  <r>
    <n v="32"/>
    <d v="2026-02-24T00:00:00"/>
    <s v="Share the COGS Approval Matrix to SCM Team"/>
    <s v="Approval Matrix"/>
    <x v="2"/>
    <x v="0"/>
    <s v="UI"/>
    <s v="Zenardy"/>
  </r>
  <r>
    <n v="33"/>
    <d v="2026-02-24T00:00:00"/>
    <s v="Add Estimated Total in USD field and do the calculation"/>
    <s v="Purchase Requisitions"/>
    <x v="2"/>
    <x v="1"/>
    <s v="UI"/>
    <s v="Zenardy"/>
  </r>
  <r>
    <n v="34"/>
    <d v="2026-02-24T00:00:00"/>
    <s v="Change the COGS approval based on Estimated Total in USD"/>
    <s v="Purchase Requisitions"/>
    <x v="2"/>
    <x v="1"/>
    <s v="UI"/>
    <s v="Zenardy"/>
  </r>
  <r>
    <n v="35"/>
    <d v="2026-02-24T00:00:00"/>
    <s v="Approval Resubmission should start from SCM Analyst"/>
    <s v="Purchase Requisitions"/>
    <x v="2"/>
    <x v="1"/>
    <s v="UI"/>
    <s v="Zenardy"/>
  </r>
  <r>
    <n v="54"/>
    <d v="2026-02-24T00:00:00"/>
    <s v="Route the Approval for Payment Terms only when updates Term is less than the Default Term in Vendor Master"/>
    <s v="Purchase Requisitions"/>
    <x v="0"/>
    <x v="0"/>
    <s v="Workflow"/>
    <s v="Zenardy"/>
  </r>
  <r>
    <n v="65"/>
    <d v="2026-02-24T00:00:00"/>
    <s v="Provide the List of Operating subsidiaries"/>
    <m/>
    <x v="4"/>
    <x v="0"/>
    <m/>
    <s v="Mobileum"/>
  </r>
  <r>
    <n v="36"/>
    <d v="2026-02-25T00:00:00"/>
    <s v="Rename AP Manager to AP Analyst"/>
    <s v="Role"/>
    <x v="2"/>
    <x v="1"/>
    <s v="UI"/>
    <s v="Zenardy"/>
  </r>
  <r>
    <n v="37"/>
    <d v="2026-02-25T00:00:00"/>
    <s v="Make Project mandatory if Order Type = COGS"/>
    <s v="Purchase Requisitions"/>
    <x v="3"/>
    <x v="1"/>
    <s v="Workflow"/>
    <s v="Zenardy"/>
  </r>
  <r>
    <n v="38"/>
    <d v="2026-02-25T00:00:00"/>
    <s v="Make Department mandatory if Order Type = Non COGS"/>
    <s v="Purchase Requisitions"/>
    <x v="2"/>
    <x v="1"/>
    <s v="Workflow"/>
    <s v="Zenardy"/>
  </r>
  <r>
    <n v="39"/>
    <d v="2026-02-25T00:00:00"/>
    <s v="Add Item Category to the transaction line"/>
    <s v="Purchase Requisitions"/>
    <x v="3"/>
    <x v="1"/>
    <s v="Workflow"/>
    <s v="Zenardy"/>
  </r>
  <r>
    <n v="40"/>
    <d v="2026-02-25T00:00:00"/>
    <s v="PO# -- 8 digits"/>
    <s v="Purchase Order"/>
    <x v="1"/>
    <x v="1"/>
    <s v="UI"/>
    <s v="Zenardy"/>
  </r>
  <r>
    <n v="41"/>
    <d v="2026-02-25T00:00:00"/>
    <s v="Rename Accrues Purchases account to GR/IR Clearing Account"/>
    <s v="Account"/>
    <x v="1"/>
    <x v="1"/>
    <s v="UI"/>
    <s v="Zenardy"/>
  </r>
  <r>
    <n v="42"/>
    <d v="2026-02-25T00:00:00"/>
    <s v="Remove / Hide Rate in IR for Purchase Requestor role"/>
    <s v="Item Receipt"/>
    <x v="1"/>
    <x v="1"/>
    <s v="Workflow"/>
    <s v="Zenardy"/>
  </r>
  <r>
    <n v="43"/>
    <d v="2026-02-25T00:00:00"/>
    <s v="Restrict Supervisor from approving if the 3 way is not matching"/>
    <s v="Bill"/>
    <x v="0"/>
    <x v="0"/>
    <s v="Workflow + Script"/>
    <s v="Zenardy"/>
  </r>
  <r>
    <n v="44"/>
    <d v="2026-02-25T00:00:00"/>
    <s v="Add CSV &amp; Excel download option in Release Payment Suitelet Page"/>
    <s v="Release Payment"/>
    <x v="5"/>
    <x v="1"/>
    <s v="Script"/>
    <s v="Zenardy"/>
  </r>
  <r>
    <n v="45"/>
    <d v="2026-02-25T00:00:00"/>
    <s v="Add Amount in USD in Release Payment suitelet page"/>
    <s v="Release Payment"/>
    <x v="5"/>
    <x v="1"/>
    <s v="Script"/>
    <s v="Zenardy"/>
  </r>
  <r>
    <n v="46"/>
    <d v="2026-02-25T00:00:00"/>
    <s v="Add Mark All &amp; should be visible only for Treasury Head"/>
    <s v="Release Payment"/>
    <x v="5"/>
    <x v="0"/>
    <s v="Script"/>
    <s v="Zenardy"/>
  </r>
  <r>
    <n v="47"/>
    <d v="2026-02-25T00:00:00"/>
    <s v="Customize the Bill Payment PDF"/>
    <s v="PDF Template"/>
    <x v="0"/>
    <x v="3"/>
    <s v="Script"/>
    <s v="Zenardy"/>
  </r>
  <r>
    <n v="48"/>
    <d v="2026-02-25T00:00:00"/>
    <s v="Customize the PO PDF"/>
    <s v="PDF Template"/>
    <x v="0"/>
    <x v="1"/>
    <s v="Script"/>
    <s v="Zenardy"/>
  </r>
  <r>
    <n v="49"/>
    <d v="2026-02-25T00:00:00"/>
    <s v="Add the email content for Bill Payment to the email template"/>
    <s v="Email Template"/>
    <x v="2"/>
    <x v="0"/>
    <s v="Workflow"/>
    <s v="Zenardy"/>
  </r>
  <r>
    <n v="50"/>
    <d v="2026-02-25T00:00:00"/>
    <s v="Share the PO PDF copy with SCM Team"/>
    <s v="Email Content"/>
    <x v="2"/>
    <x v="2"/>
    <s v="UI"/>
    <s v="Zenardy"/>
  </r>
  <r>
    <n v="51"/>
    <d v="2026-02-25T00:00:00"/>
    <s v="Send the list of countries that has WHT Tax"/>
    <s v="Tax"/>
    <x v="4"/>
    <x v="0"/>
    <m/>
    <s v="Mobileum"/>
  </r>
  <r>
    <n v="52"/>
    <d v="2026-02-25T00:00:00"/>
    <s v="Test the COGS Approval Process - End to End"/>
    <s v="Purchase Requisitions"/>
    <x v="6"/>
    <x v="4"/>
    <s v="Workflow + Script"/>
    <s v="Zenardy"/>
  </r>
  <r>
    <n v="53"/>
    <d v="2026-02-25T00:00:00"/>
    <s v="Lock the PR after the submitted for approval &amp; after the PR is approved"/>
    <s v="Purchase Requisitions"/>
    <x v="3"/>
    <x v="1"/>
    <s v="Workflow"/>
    <s v="Zenardy"/>
  </r>
  <r>
    <n v="67"/>
    <d v="2026-02-25T00:00:00"/>
    <s v="Budget Creation &amp; Validation confirmation for COGS"/>
    <m/>
    <x v="4"/>
    <x v="0"/>
    <m/>
    <s v="Mobileum"/>
  </r>
  <r>
    <n v="55"/>
    <d v="2026-02-26T00:00:00"/>
    <s v="Item Naming Convention - Need Confirmation from SCM"/>
    <s v="Item"/>
    <x v="7"/>
    <x v="0"/>
    <m/>
    <s v="Mobileum"/>
  </r>
  <r>
    <n v="56"/>
    <d v="2026-02-26T00:00:00"/>
    <s v="3 Way Match Confirmation - Need Confirmation from Agnelo"/>
    <m/>
    <x v="4"/>
    <x v="0"/>
    <m/>
    <s v="Mobileum"/>
  </r>
  <r>
    <n v="57"/>
    <d v="2026-02-26T00:00:00"/>
    <s v="Report: List of PO - Default Terms vs PO Terms"/>
    <s v="PDF Template"/>
    <x v="1"/>
    <x v="1"/>
    <m/>
    <s v="Zenardy"/>
  </r>
  <r>
    <n v="69"/>
    <d v="2026-02-26T00:00:00"/>
    <s v="Send the Bill Payment PDF to customize"/>
    <m/>
    <x v="4"/>
    <x v="0"/>
    <m/>
    <s v="Mobileum"/>
  </r>
  <r>
    <n v="78"/>
    <d v="2026-02-26T00:00:00"/>
    <s v="Send the TAT Report"/>
    <m/>
    <x v="7"/>
    <x v="0"/>
    <m/>
    <s v="Mobileum"/>
  </r>
  <r>
    <n v="58"/>
    <d v="2026-02-27T00:00:00"/>
    <s v="Rename Item Receitp to Good Receipt (GR)"/>
    <m/>
    <x v="1"/>
    <x v="1"/>
    <m/>
    <s v="Zenardy"/>
  </r>
  <r>
    <n v="59"/>
    <d v="2026-02-27T00:00:00"/>
    <s v="Rename Vendor Bill to Vendor Invoice (VI)"/>
    <m/>
    <x v="1"/>
    <x v="1"/>
    <m/>
    <s v="Zenardy"/>
  </r>
  <r>
    <n v="60"/>
    <d v="2026-02-27T00:00:00"/>
    <s v="Relabel Transaction Date to Invoice Date"/>
    <m/>
    <x v="1"/>
    <x v="1"/>
    <m/>
    <s v="Zenardy"/>
  </r>
  <r>
    <n v="61"/>
    <d v="2026-02-27T00:00:00"/>
    <s v="Add a field called Creation Date and map the date on which the Bill is created"/>
    <m/>
    <x v="1"/>
    <x v="1"/>
    <m/>
    <s v="Zenardy"/>
  </r>
  <r>
    <n v="62"/>
    <d v="2026-02-27T00:00:00"/>
    <s v="Send Automatic emails to vendor for Statement of Account for selective vendors"/>
    <m/>
    <x v="0"/>
    <x v="0"/>
    <m/>
    <s v="Zenardy"/>
  </r>
  <r>
    <n v="63"/>
    <d v="2026-02-27T00:00:00"/>
    <s v="Send on Demand emails to vendor for Statement of Account"/>
    <m/>
    <x v="0"/>
    <x v="0"/>
    <m/>
    <s v="Zenardy"/>
  </r>
  <r>
    <n v="64"/>
    <d v="2026-02-27T00:00:00"/>
    <s v="AP Aging Report - Add Posting Date to the report"/>
    <m/>
    <x v="1"/>
    <x v="1"/>
    <m/>
    <s v="Zenardy"/>
  </r>
  <r>
    <n v="68"/>
    <d v="2026-02-27T00:00:00"/>
    <s v="Confirm Roles"/>
    <m/>
    <x v="4"/>
    <x v="0"/>
    <m/>
    <s v="Mobileum"/>
  </r>
  <r>
    <n v="70"/>
    <d v="2026-02-27T00:00:00"/>
    <s v="Send list of vendors for whom the Automatic emails for vendor for Statement of Account to be sent- to be managed internally"/>
    <m/>
    <x v="4"/>
    <x v="1"/>
    <m/>
    <s v="Mobileum"/>
  </r>
  <r>
    <n v="79"/>
    <d v="2026-02-27T00:00:00"/>
    <s v="Enable EFT for Vendor Prepayment"/>
    <m/>
    <x v="2"/>
    <x v="0"/>
    <m/>
    <s v="Zenardy"/>
  </r>
  <r>
    <n v="80"/>
    <d v="2026-02-27T00:00:00"/>
    <s v="rename transaction date to document date"/>
    <m/>
    <x v="1"/>
    <x v="0"/>
    <m/>
    <s v="Zenardy"/>
  </r>
  <r>
    <n v="81"/>
    <d v="2026-02-27T00:00:00"/>
    <s v="Send email to the Creator when the PO is approved and asking them to receive the items"/>
    <m/>
    <x v="3"/>
    <x v="0"/>
    <m/>
    <s v="Zenardy"/>
  </r>
  <r>
    <n v="82"/>
    <d v="2026-02-27T00:00:00"/>
    <s v="Saved Search: list of vendor invoices created but receipt is not done"/>
    <m/>
    <x v="1"/>
    <x v="0"/>
    <m/>
    <s v="Zenardy"/>
  </r>
  <r>
    <n v="83"/>
    <d v="2026-02-27T00:00:00"/>
    <s v="42-AP vendor history payment history report to cover payment details, invoice details, debitcredit note details, GL account, department"/>
    <m/>
    <x v="1"/>
    <x v="0"/>
    <m/>
    <s v="Zenardy"/>
  </r>
  <r>
    <n v="84"/>
    <d v="2026-02-27T00:00:00"/>
    <s v="Customize the AP aging to add the posting date"/>
    <m/>
    <x v="1"/>
    <x v="0"/>
    <m/>
    <s v="Zenardy"/>
  </r>
  <r>
    <n v="72"/>
    <d v="2026-03-02T00:00:00"/>
    <s v="Deferred COGS to COGS automation"/>
    <m/>
    <x v="0"/>
    <x v="0"/>
    <m/>
    <s v="Zenardy"/>
  </r>
  <r>
    <n v="73"/>
    <d v="2026-03-02T00:00:00"/>
    <s v="Non COGS PR Approval - Dev"/>
    <m/>
    <x v="5"/>
    <x v="0"/>
    <m/>
    <s v="Zenardy"/>
  </r>
  <r>
    <n v="74"/>
    <d v="2026-03-02T00:00:00"/>
    <s v="Non COGS PR Approval - Testing"/>
    <m/>
    <x v="8"/>
    <x v="0"/>
    <m/>
    <s v="Zenardy"/>
  </r>
  <r>
    <n v="75"/>
    <d v="2026-03-02T00:00:00"/>
    <s v="Non PO Bill Approval - Dev"/>
    <m/>
    <x v="3"/>
    <x v="0"/>
    <m/>
    <s v="Zenardy"/>
  </r>
  <r>
    <n v="76"/>
    <d v="2026-03-02T00:00:00"/>
    <s v="Non PO Bill Approval - Testing"/>
    <m/>
    <x v="8"/>
    <x v="0"/>
    <m/>
    <s v="Zenardy"/>
  </r>
  <r>
    <n v="77"/>
    <d v="2026-03-02T00:00:00"/>
    <s v="EFT Templates - Dev"/>
    <m/>
    <x v="9"/>
    <x v="3"/>
    <m/>
    <s v="Zenardy"/>
  </r>
  <r>
    <n v="85"/>
    <d v="2026-03-03T00:00:00"/>
    <s v="14-5. Consolidated-AP_Aging_Report "/>
    <m/>
    <x v="1"/>
    <x v="0"/>
    <m/>
    <s v="Zenardy"/>
  </r>
  <r>
    <n v="86"/>
    <d v="2026-03-03T00:00:00"/>
    <s v="16-7. Account Details by Entity"/>
    <m/>
    <x v="1"/>
    <x v="0"/>
    <m/>
    <s v="Zenardy"/>
  </r>
  <r>
    <n v="87"/>
    <d v="2026-03-03T00:00:00"/>
    <s v="21-16. Global entity level open bank guarantees report with start and end date"/>
    <m/>
    <x v="1"/>
    <x v="0"/>
    <m/>
    <s v="Zenardy"/>
  </r>
  <r>
    <n v="88"/>
    <d v="2026-03-03T00:00:00"/>
    <s v="34-10 Vendor PO summary Report- At Consolidated and Entity levels"/>
    <m/>
    <x v="1"/>
    <x v="0"/>
    <m/>
    <s v="Zenardy"/>
  </r>
  <r>
    <n v="89"/>
    <d v="2026-03-03T00:00:00"/>
    <s v="35-11 Vendor PO based purchases report- At Consolidated and Entity levels"/>
    <m/>
    <x v="1"/>
    <x v="0"/>
    <m/>
    <s v="Zenardy"/>
  </r>
  <r>
    <n v="90"/>
    <d v="2026-03-03T00:00:00"/>
    <s v="36-12. Inventory Report (Nio, Sigos etc)-At Consolidated and Entity levels"/>
    <m/>
    <x v="1"/>
    <x v="0"/>
    <m/>
    <s v="Zenardy"/>
  </r>
  <r>
    <n v="91"/>
    <d v="2026-03-03T00:00:00"/>
    <s v="39. Vendor Bank accounts report"/>
    <m/>
    <x v="1"/>
    <x v="0"/>
    <m/>
    <s v="Zenardy"/>
  </r>
  <r>
    <n v="92"/>
    <d v="2026-03-03T00:00:00"/>
    <s v="48 GRIR Report - PO report with missing invoice entry GR entry"/>
    <m/>
    <x v="1"/>
    <x v="0"/>
    <m/>
    <s v="Zenardy"/>
  </r>
  <r>
    <n v="93"/>
    <d v="2026-03-03T00:00:00"/>
    <s v="51-GL Dump with Vendor name &amp; Service description"/>
    <m/>
    <x v="1"/>
    <x v="0"/>
    <m/>
    <s v="Zenardy"/>
  </r>
  <r>
    <n v="94"/>
    <d v="2026-03-03T00:00:00"/>
    <s v="70 - Monthly transactions data requirements"/>
    <m/>
    <x v="1"/>
    <x v="0"/>
    <m/>
    <s v="Zenardy"/>
  </r>
  <r>
    <n v="95"/>
    <d v="2026-03-03T00:00:00"/>
    <s v="72.Inventory Listing Report as on 5th Jan 26"/>
    <m/>
    <x v="1"/>
    <x v="0"/>
    <m/>
    <s v="Zenardy"/>
  </r>
  <r>
    <n v="96"/>
    <d v="2026-03-03T00:00:00"/>
    <s v="73.Inventory Class Report as on 5th Jan 26"/>
    <m/>
    <x v="1"/>
    <x v="0"/>
    <m/>
    <s v="Zenardy"/>
  </r>
  <r>
    <n v="97"/>
    <d v="2026-03-03T00:00:00"/>
    <s v="76 - Vendor Master (entity wise)"/>
    <m/>
    <x v="1"/>
    <x v="0"/>
    <m/>
    <s v="Zenardy"/>
  </r>
  <r>
    <n v="98"/>
    <d v="2026-03-03T00:00:00"/>
    <s v="78. SPEND REPORT"/>
    <m/>
    <x v="1"/>
    <x v="0"/>
    <m/>
    <s v="Zenardy"/>
  </r>
  <r>
    <n v="99"/>
    <d v="2026-03-03T00:00:00"/>
    <s v="79. ITEM_DETAILS_PROJECT_LEVEL"/>
    <m/>
    <x v="1"/>
    <x v="0"/>
    <m/>
    <s v="Zenardy"/>
  </r>
  <r>
    <n v="100"/>
    <d v="2026-03-03T00:00:00"/>
    <s v="80 Sigos GmbH_ JE_Inventory valuation_31st dec'25&amp; inventory valuation"/>
    <m/>
    <x v="1"/>
    <x v="0"/>
    <m/>
    <s v="Zenardy"/>
  </r>
  <r>
    <n v="101"/>
    <d v="2026-03-03T00:00:00"/>
    <s v="93 SAVINGS DASHBOARD"/>
    <m/>
    <x v="2"/>
    <x v="0"/>
    <m/>
    <s v="Zenardy"/>
  </r>
  <r>
    <n v="102"/>
    <m/>
    <m/>
    <m/>
    <x v="10"/>
    <x v="5"/>
    <m/>
    <m/>
  </r>
  <r>
    <n v="103"/>
    <m/>
    <m/>
    <m/>
    <x v="10"/>
    <x v="5"/>
    <m/>
    <m/>
  </r>
  <r>
    <n v="104"/>
    <m/>
    <m/>
    <m/>
    <x v="10"/>
    <x v="5"/>
    <m/>
    <m/>
  </r>
  <r>
    <n v="105"/>
    <m/>
    <m/>
    <m/>
    <x v="10"/>
    <x v="5"/>
    <m/>
    <m/>
  </r>
  <r>
    <n v="106"/>
    <m/>
    <m/>
    <m/>
    <x v="10"/>
    <x v="5"/>
    <m/>
    <m/>
  </r>
  <r>
    <n v="107"/>
    <m/>
    <m/>
    <m/>
    <x v="10"/>
    <x v="5"/>
    <m/>
    <m/>
  </r>
  <r>
    <n v="108"/>
    <m/>
    <m/>
    <m/>
    <x v="10"/>
    <x v="5"/>
    <m/>
    <m/>
  </r>
  <r>
    <n v="109"/>
    <m/>
    <m/>
    <m/>
    <x v="10"/>
    <x v="5"/>
    <m/>
    <m/>
  </r>
  <r>
    <n v="110"/>
    <m/>
    <m/>
    <m/>
    <x v="10"/>
    <x v="5"/>
    <m/>
    <m/>
  </r>
  <r>
    <n v="111"/>
    <m/>
    <m/>
    <m/>
    <x v="10"/>
    <x v="5"/>
    <m/>
    <m/>
  </r>
  <r>
    <n v="112"/>
    <m/>
    <m/>
    <m/>
    <x v="10"/>
    <x v="5"/>
    <m/>
    <m/>
  </r>
  <r>
    <n v="113"/>
    <m/>
    <m/>
    <m/>
    <x v="10"/>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0F1FFE-F026-4423-B74E-E2643E413FB5}" name="PivotTable3" cacheId="456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2:E24" firstHeaderRow="1" firstDataRow="2" firstDataCol="1"/>
  <pivotFields count="9">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4">
        <item x="0"/>
        <item x="1"/>
        <item x="2"/>
        <item t="default"/>
      </items>
    </pivotField>
    <pivotField compact="0" outline="0" showAll="0"/>
  </pivotFields>
  <rowItems count="1">
    <i/>
  </rowItems>
  <colFields count="1">
    <field x="7"/>
  </colFields>
  <colItems count="4">
    <i>
      <x/>
    </i>
    <i>
      <x v="1"/>
    </i>
    <i>
      <x v="2"/>
    </i>
    <i t="grand">
      <x/>
    </i>
  </colItems>
  <dataFields count="1">
    <dataField name="Count of Dependenc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DD7F1B-457D-4B6B-B69D-7F991C7D38FE}" name="PivotTable4" cacheId="456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7:H40" firstHeaderRow="1" firstDataRow="2" firstDataCol="1"/>
  <pivotFields count="8">
    <pivotField compact="0" outline="0" showAll="0"/>
    <pivotField compact="0" outline="0" showAll="0"/>
    <pivotField compact="0" outline="0" showAll="0"/>
    <pivotField compact="0" outline="0" showAll="0"/>
    <pivotField axis="axisRow" compact="0" outline="0" showAll="0">
      <items count="12">
        <item x="4"/>
        <item x="7"/>
        <item x="3"/>
        <item x="8"/>
        <item x="6"/>
        <item x="5"/>
        <item x="0"/>
        <item x="2"/>
        <item x="1"/>
        <item x="9"/>
        <item x="10"/>
        <item t="default"/>
      </items>
    </pivotField>
    <pivotField axis="axisCol" dataField="1" compact="0" outline="0" showAll="0">
      <items count="7">
        <item x="1"/>
        <item x="3"/>
        <item x="0"/>
        <item x="2"/>
        <item x="4"/>
        <item x="5"/>
        <item t="default"/>
      </items>
    </pivotField>
    <pivotField compact="0" outline="0" showAll="0"/>
    <pivotField compact="0" outline="0" showAll="0"/>
  </pivotFields>
  <rowFields count="1">
    <field x="4"/>
  </rowFields>
  <rowItems count="12">
    <i>
      <x/>
    </i>
    <i>
      <x v="1"/>
    </i>
    <i>
      <x v="2"/>
    </i>
    <i>
      <x v="3"/>
    </i>
    <i>
      <x v="4"/>
    </i>
    <i>
      <x v="5"/>
    </i>
    <i>
      <x v="6"/>
    </i>
    <i>
      <x v="7"/>
    </i>
    <i>
      <x v="8"/>
    </i>
    <i>
      <x v="9"/>
    </i>
    <i>
      <x v="10"/>
    </i>
    <i t="grand">
      <x/>
    </i>
  </rowItems>
  <colFields count="1">
    <field x="5"/>
  </colFields>
  <colItems count="7">
    <i>
      <x/>
    </i>
    <i>
      <x v="1"/>
    </i>
    <i>
      <x v="2"/>
    </i>
    <i>
      <x v="3"/>
    </i>
    <i>
      <x v="4"/>
    </i>
    <i>
      <x v="5"/>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3A6549-6A6D-45D6-AD8A-9C34FC936FE7}" name="PivotTable1" cacheId="45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12" firstHeaderRow="1" firstDataRow="2"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9">
        <item x="2"/>
        <item x="1"/>
        <item x="5"/>
        <item x="4"/>
        <item x="6"/>
        <item x="3"/>
        <item x="0"/>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x="3"/>
        <item x="2"/>
        <item x="0"/>
        <item t="default"/>
      </items>
    </pivotField>
  </pivotFields>
  <rowFields count="1">
    <field x="7"/>
  </rowFields>
  <rowItems count="9">
    <i>
      <x/>
    </i>
    <i>
      <x v="1"/>
    </i>
    <i>
      <x v="2"/>
    </i>
    <i>
      <x v="3"/>
    </i>
    <i>
      <x v="4"/>
    </i>
    <i>
      <x v="5"/>
    </i>
    <i>
      <x v="6"/>
    </i>
    <i>
      <x v="7"/>
    </i>
    <i t="grand">
      <x/>
    </i>
  </rowItems>
  <colFields count="1">
    <field x="15"/>
  </colFields>
  <colItems count="5">
    <i>
      <x/>
    </i>
    <i>
      <x v="1"/>
    </i>
    <i>
      <x v="2"/>
    </i>
    <i>
      <x v="3"/>
    </i>
    <i t="grand">
      <x/>
    </i>
  </colItems>
  <dataFields count="1">
    <dataField name="Count of Responsibility "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AC0157-360D-4470-BDB2-839B996DE069}" name="PivotTable2" cacheId="45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H18" firstHeaderRow="1" firstDataRow="2" firstDataCol="1"/>
  <pivotFields count="6">
    <pivotField compact="0" outline="0" showAll="0"/>
    <pivotField compact="0" outline="0" showAll="0"/>
    <pivotField compact="0" outline="0" showAll="0"/>
    <pivotField compact="0" outline="0" showAll="0"/>
    <pivotField compact="0" outline="0" showAll="0"/>
    <pivotField axis="axisCol" dataField="1" compact="0" outline="0" showAll="0">
      <items count="7">
        <item x="1"/>
        <item x="3"/>
        <item x="0"/>
        <item x="2"/>
        <item x="4"/>
        <item x="5"/>
        <item t="default"/>
      </items>
    </pivotField>
  </pivotFields>
  <rowItems count="1">
    <i/>
  </rowItems>
  <colFields count="1">
    <field x="5"/>
  </colFields>
  <colItems count="7">
    <i>
      <x/>
    </i>
    <i>
      <x v="1"/>
    </i>
    <i>
      <x v="2"/>
    </i>
    <i>
      <x v="3"/>
    </i>
    <i>
      <x v="4"/>
    </i>
    <i>
      <x v="5"/>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7" dT="2025-12-24T07:12:23.69" personId="{91BC281A-F9E1-4515-B8E3-662975ED68E3}" id="{2AB521EF-4070-4C84-91EF-8E6A837657CA}">
    <text>Do we need to show next approver somewhere to show who approved and who has to approve next?
Approval state is always pending approval</text>
  </threadedComment>
</ThreadedComments>
</file>

<file path=xl/threadedComments/threadedComment2.xml><?xml version="1.0" encoding="utf-8"?>
<ThreadedComments xmlns="http://schemas.microsoft.com/office/spreadsheetml/2018/threadedcomments" xmlns:x="http://schemas.openxmlformats.org/spreadsheetml/2006/main">
  <threadedComment ref="H27" dT="2025-12-24T07:12:23.69" personId="{91BC281A-F9E1-4515-B8E3-662975ED68E3}" id="{E1596207-E9B6-4633-BD28-50986C6365AB}">
    <text>Do we need to show next approver somewhere to show who approved and who has to approve next?
Approval state is always pending approval</text>
  </threadedComment>
</ThreadedComment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3657373-sb1.app.netsuite.com/app/accounting/transactions/purchord.nl?id=372&amp;whence=" TargetMode="Externa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8" Type="http://schemas.openxmlformats.org/officeDocument/2006/relationships/hyperlink" Target="../../../../:x:/s/Mobileum/IQBe1qasHSm0RJXMu2oHvikqAVC49UTl1sJCBkF10uqLLps?e=Au4V7m" TargetMode="External"/><Relationship Id="rId13" Type="http://schemas.openxmlformats.org/officeDocument/2006/relationships/hyperlink" Target="../../../../:x:/s/Mobileum/IQAZv9sJNG1FQbqwd4zmo4pxAfWba4GAeFYG4MzwKylBAro?e=UJXLWE" TargetMode="External"/><Relationship Id="rId18" Type="http://schemas.openxmlformats.org/officeDocument/2006/relationships/hyperlink" Target="../../../../:x:/s/Mobileum/IQAUJHLS20pgSo4Y1wt8AQm3AWP0KLIhX41qsSKLg-94CXQ?e=UIMrb9" TargetMode="External"/><Relationship Id="rId26" Type="http://schemas.openxmlformats.org/officeDocument/2006/relationships/hyperlink" Target="https://3657373-sb1.app.netsuite.com/app/common/search/searchresults.nl?searchid=1590&amp;whence=" TargetMode="External"/><Relationship Id="rId3" Type="http://schemas.openxmlformats.org/officeDocument/2006/relationships/hyperlink" Target="https://3657373-sb1.app.netsuite.com/app/common/search/searchresults.nl?searchid=1569&amp;saverun=T&amp;whence=" TargetMode="External"/><Relationship Id="rId21" Type="http://schemas.openxmlformats.org/officeDocument/2006/relationships/hyperlink" Target="../../../../:x:/s/Mobileum/IQDl0IxuHlGxR6No5vL2HXItAVfIbwuuqBRzxf4b5v3ZSvE?e=Z7I496" TargetMode="External"/><Relationship Id="rId7" Type="http://schemas.openxmlformats.org/officeDocument/2006/relationships/hyperlink" Target="../../../../:x:/s/Mobileum/IQCGixWHAwBeTI3IR-hLVb96AVnye3bBcJBQ53K2GdmbEXg?e=cHiPuB" TargetMode="External"/><Relationship Id="rId12" Type="http://schemas.openxmlformats.org/officeDocument/2006/relationships/hyperlink" Target="../../../../:x:/s/Mobileum/IQAw0f1rBW4LSbVFkLcd2gb5AT9txDSYWHVo22lsMI6KxBo?e=WbGoE3" TargetMode="External"/><Relationship Id="rId17" Type="http://schemas.openxmlformats.org/officeDocument/2006/relationships/hyperlink" Target="../../../../:x:/s/Mobileum/IQB7NUld8w7jR7fkdC4M1YltAcmqBWaE7N2KkVvhrqKK3cA?e=begpKi" TargetMode="External"/><Relationship Id="rId25" Type="http://schemas.openxmlformats.org/officeDocument/2006/relationships/hyperlink" Target="https://3657373-sb1.app.netsuite.com/app/reporting/reportrunner.nl?cr=410&amp;customized=T&amp;whence=" TargetMode="External"/><Relationship Id="rId2" Type="http://schemas.openxmlformats.org/officeDocument/2006/relationships/hyperlink" Target="https://3657373-sb1.app.netsuite.com/app/common/search/searchresults.nl?searchid=1560&amp;saverun=T&amp;whence=" TargetMode="External"/><Relationship Id="rId16" Type="http://schemas.openxmlformats.org/officeDocument/2006/relationships/hyperlink" Target="../../../../:x:/s/Mobileum/IQBI2-jmTEZ4TZLg3bluoO0XAfnbs-HysXVNjGB4K1pgnJA?e=WEgkhl" TargetMode="External"/><Relationship Id="rId20" Type="http://schemas.openxmlformats.org/officeDocument/2006/relationships/hyperlink" Target="../../../../:x:/s/Mobileum/IQB3HAgIA-dISZ9GIq4fnQkIAQUCR5pY7Ef2XMe72zvO8yc?e=l1UDKv" TargetMode="External"/><Relationship Id="rId29" Type="http://schemas.openxmlformats.org/officeDocument/2006/relationships/hyperlink" Target="https://3657373-sb1.app.netsuite.com/app/common/search/searchresults.nl?searchid=1602&amp;saverun=T&amp;whence=" TargetMode="External"/><Relationship Id="rId1" Type="http://schemas.openxmlformats.org/officeDocument/2006/relationships/hyperlink" Target="https://3657373-sb1.app.netsuite.com/app/common/search/searchresults.nl?searchid=1546&amp;saverun=T&amp;whence=" TargetMode="External"/><Relationship Id="rId6" Type="http://schemas.openxmlformats.org/officeDocument/2006/relationships/hyperlink" Target="../../../../:x:/s/Mobileum/IQDPjKWHdeiTQb1azzypavVQAen0odxGR_b6BbZzWIFb6ME?e=ZNMzvp" TargetMode="External"/><Relationship Id="rId11" Type="http://schemas.openxmlformats.org/officeDocument/2006/relationships/hyperlink" Target="../../../../:x:/s/Mobileum/IQD6dotUD11wQYzMjBd8W2RfAcKTaWQYEjFj-cuwzVKYwZM?e=tZoyI3" TargetMode="External"/><Relationship Id="rId24" Type="http://schemas.openxmlformats.org/officeDocument/2006/relationships/hyperlink" Target="https://3657373-sb1.app.netsuite.com/app/common/search/searchresults.nl?searchid=1589&amp;saverun=T&amp;whence=" TargetMode="External"/><Relationship Id="rId5" Type="http://schemas.openxmlformats.org/officeDocument/2006/relationships/hyperlink" Target="../../../../:x:/s/Mobileum/IQDfuCFVIEJtSZOp0IXXWQ76ASkFs0O3TvVIYXiOjykpyzo?e=8JNQg3" TargetMode="External"/><Relationship Id="rId15" Type="http://schemas.openxmlformats.org/officeDocument/2006/relationships/hyperlink" Target="../../../../:x:/s/Mobileum/IQCTosz8Mzx6T4f7Z4H5jateAfR8U3iJkH8THfrwLqxiGOI?e=rd6a2p" TargetMode="External"/><Relationship Id="rId23" Type="http://schemas.openxmlformats.org/officeDocument/2006/relationships/hyperlink" Target="https://3657373-sb1.app.netsuite.com/app/reporting/reportrunner.nl?cr=409&amp;reload=T&amp;whence=&amp;siaT=1772709198144&amp;siaWhc=%2Fapp%2Faccounting%2Ftransactions%2Fvendbill.nl&amp;siaNv=ct2" TargetMode="External"/><Relationship Id="rId28" Type="http://schemas.openxmlformats.org/officeDocument/2006/relationships/hyperlink" Target="https://3657373-sb1.app.netsuite.com/app/reporting/reportrunner.nl?cr=412&amp;customized=T&amp;whence=" TargetMode="External"/><Relationship Id="rId10" Type="http://schemas.openxmlformats.org/officeDocument/2006/relationships/hyperlink" Target="../../../../:x:/s/Mobileum/IQAHCAAGGRVjR4Ge1c_Y2YTLAXBzVsqXGj1i-tnyHo-wHQ0?e=HYu4cW" TargetMode="External"/><Relationship Id="rId19" Type="http://schemas.openxmlformats.org/officeDocument/2006/relationships/hyperlink" Target="../../../../:x:/s/Mobileum/IQAxOzRgYyhOS4W7KFXruMDGAVxo0zg31s3ifwtimFy6QNg?e=qbg2fU" TargetMode="External"/><Relationship Id="rId4" Type="http://schemas.openxmlformats.org/officeDocument/2006/relationships/hyperlink" Target="../../../../:x:/r/sites/Mobileum/_layouts/15/Doc.aspx?sourcedoc=%7B8559FF65-4CE3-4F17-A766-CA07D1260E2C%7D&amp;file=14-5.%20Consolidated-AP_Aging_Report.xlsm&amp;action=default&amp;mobileredirect=true" TargetMode="External"/><Relationship Id="rId9" Type="http://schemas.openxmlformats.org/officeDocument/2006/relationships/hyperlink" Target="../../../../:x:/s/Mobileum/IQA49f5UKDWjQqdsDSNkbJ0YAaB9k2B8u44-oojpZhQTmc4?e=sp8DuC" TargetMode="External"/><Relationship Id="rId14" Type="http://schemas.openxmlformats.org/officeDocument/2006/relationships/hyperlink" Target="../../../../:x:/s/Mobileum/IQDZ9FdNfKkWSZGcK0ybirIjAYAEKOJIUs8iO02cyS7xbhM?e=MQHiye" TargetMode="External"/><Relationship Id="rId22" Type="http://schemas.openxmlformats.org/officeDocument/2006/relationships/hyperlink" Target="../../../../:x:/s/Mobileum/IQDW3jcIww2_SYgz4JOqEA3sAZGVEGgKj9EXgN8xiuB-Rxw?e=a1lvpX" TargetMode="External"/><Relationship Id="rId27" Type="http://schemas.openxmlformats.org/officeDocument/2006/relationships/hyperlink" Target="https://3657373-sb1.app.netsuite.com/app/reporting/reportrunner.nl?cr=411&amp;customized=T&amp;whenc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3657373-sb1.app.netsuite.com/app/accounting/transactions/purchreq.nl?id=9252&amp;whence=&amp;cmid=1770203321761_99435" TargetMode="External"/><Relationship Id="rId3" Type="http://schemas.openxmlformats.org/officeDocument/2006/relationships/hyperlink" Target="https://3657373-sb1.app.netsuite.com/app/accounting/transactions/purchreq.nl?id=9247&amp;whence=&amp;cmid=1770202707728_99080" TargetMode="External"/><Relationship Id="rId7" Type="http://schemas.openxmlformats.org/officeDocument/2006/relationships/hyperlink" Target="https://3657373-sb1.app.netsuite.com/app/accounting/transactions/purchreq.nl?id=9251&amp;whence=&amp;cmid=1770203206257_99373" TargetMode="External"/><Relationship Id="rId12" Type="http://schemas.openxmlformats.org/officeDocument/2006/relationships/hyperlink" Target="https://3657373-sb1.app.netsuite.com/app/accounting/transactions/purchreq.nl?id=9256&amp;whence=&amp;cmid=1770203638722_99620" TargetMode="External"/><Relationship Id="rId2" Type="http://schemas.openxmlformats.org/officeDocument/2006/relationships/hyperlink" Target="https://3657373-sb1.app.netsuite.com/app/accounting/transactions/purchreq.nl?id=9246&amp;whence=&amp;cmid=1770202010041_98985" TargetMode="External"/><Relationship Id="rId1" Type="http://schemas.openxmlformats.org/officeDocument/2006/relationships/hyperlink" Target="https://3657373-sb1.app.netsuite.com/app/accounting/transactions/purchreq.nl?id=9245&amp;whence=" TargetMode="External"/><Relationship Id="rId6" Type="http://schemas.openxmlformats.org/officeDocument/2006/relationships/hyperlink" Target="https://3657373-sb1.app.netsuite.com/app/accounting/transactions/purchreq.nl?id=9250&amp;whence=&amp;cmid=1770203141121_99342" TargetMode="External"/><Relationship Id="rId11" Type="http://schemas.openxmlformats.org/officeDocument/2006/relationships/hyperlink" Target="https://3657373-sb1.app.netsuite.com/app/accounting/transactions/purchreq.nl?id=9255&amp;whence=&amp;cmid=1770203594741_99573" TargetMode="External"/><Relationship Id="rId5" Type="http://schemas.openxmlformats.org/officeDocument/2006/relationships/hyperlink" Target="https://3657373-sb1.app.netsuite.com/app/accounting/transactions/purchreq.nl?id=9249&amp;whence=&amp;cmid=1770203003962_99254" TargetMode="External"/><Relationship Id="rId10" Type="http://schemas.openxmlformats.org/officeDocument/2006/relationships/hyperlink" Target="https://3657373-sb1.app.netsuite.com/app/accounting/transactions/purchreq.nl?id=9254&amp;whence=&amp;cmid=1770203524471_99538" TargetMode="External"/><Relationship Id="rId4" Type="http://schemas.openxmlformats.org/officeDocument/2006/relationships/hyperlink" Target="https://3657373-sb1.app.netsuite.com/app/accounting/transactions/purchreq.nl?id=9248&amp;whence=&amp;cmid=1770202809648_99111" TargetMode="External"/><Relationship Id="rId9" Type="http://schemas.openxmlformats.org/officeDocument/2006/relationships/hyperlink" Target="https://3657373-sb1.app.netsuite.com/app/accounting/transactions/purchreq.nl?id=9253&amp;whence=&amp;cmid=1770203450473_99510"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3657373-sb1.app.netsuite.com/app/common/search/searchresults.nl?searchid=1457&amp;whence=" TargetMode="External"/><Relationship Id="rId18" Type="http://schemas.openxmlformats.org/officeDocument/2006/relationships/hyperlink" Target="https://3657373-sb1.app.netsuite.com/app/common/search/searchresults.nl?searchid=1475&amp;saverun=T&amp;whence=" TargetMode="External"/><Relationship Id="rId26" Type="http://schemas.openxmlformats.org/officeDocument/2006/relationships/hyperlink" Target="https://3657373-sb1.app.netsuite.com/app/common/search/searchresults.nl?searchid=1445&amp;whence=" TargetMode="External"/><Relationship Id="rId3" Type="http://schemas.openxmlformats.org/officeDocument/2006/relationships/hyperlink" Target="https://3657373-sb1.app.netsuite.com/app/common/search/searchresults.nl?searchid=1442&amp;whence=" TargetMode="External"/><Relationship Id="rId21" Type="http://schemas.openxmlformats.org/officeDocument/2006/relationships/hyperlink" Target="https://3657373-sb1.app.netsuite.com/app/common/search/searchresults.nl?searchid=1489&amp;saverun=T&amp;whence=" TargetMode="External"/><Relationship Id="rId7" Type="http://schemas.openxmlformats.org/officeDocument/2006/relationships/hyperlink" Target="https://3657373-sb1.app.netsuite.com/app/common/search/searchresults.nl?searchid=1445&amp;saverun=T&amp;whence=" TargetMode="External"/><Relationship Id="rId12" Type="http://schemas.openxmlformats.org/officeDocument/2006/relationships/hyperlink" Target="https://3657373-sb1.app.netsuite.com/app/common/search/searchresults.nl?searchid=1453&amp;saverun=T&amp;whence=" TargetMode="External"/><Relationship Id="rId17" Type="http://schemas.openxmlformats.org/officeDocument/2006/relationships/hyperlink" Target="https://3657373-sb1.app.netsuite.com/app/common/search/searchresults.nl?searchid=1475&amp;saverun=T&amp;whence=" TargetMode="External"/><Relationship Id="rId25" Type="http://schemas.openxmlformats.org/officeDocument/2006/relationships/hyperlink" Target="https://3657373-sb1.app.netsuite.com/app/common/search/searchresults.nl?searchid=1446&amp;whence=" TargetMode="External"/><Relationship Id="rId33" Type="http://schemas.openxmlformats.org/officeDocument/2006/relationships/hyperlink" Target="https://3657373-sb1.app.netsuite.com/app/common/search/searchresults.nl?searchid=1501&amp;saverun=T&amp;whence=" TargetMode="External"/><Relationship Id="rId2" Type="http://schemas.openxmlformats.org/officeDocument/2006/relationships/hyperlink" Target="https://3657373-sb1.app.netsuite.com/app/common/search/searchresults.nl?searchid=1441&amp;whence=" TargetMode="External"/><Relationship Id="rId16" Type="http://schemas.openxmlformats.org/officeDocument/2006/relationships/hyperlink" Target="https://3657373-sb1.app.netsuite.com/app/common/search/searchresults.nl?searchid=1474&amp;saverun=T&amp;whence=" TargetMode="External"/><Relationship Id="rId20" Type="http://schemas.openxmlformats.org/officeDocument/2006/relationships/hyperlink" Target="https://3657373-sb1.app.netsuite.com/app/common/search/searchresults.nl?searchid=1478&amp;saverun=T&amp;whence=" TargetMode="External"/><Relationship Id="rId29" Type="http://schemas.openxmlformats.org/officeDocument/2006/relationships/hyperlink" Target="https://3657373-sb1.app.netsuite.com/app/common/search/searchresults.nl?searchid=1493&amp;saverun=T&amp;whence=" TargetMode="External"/><Relationship Id="rId1" Type="http://schemas.openxmlformats.org/officeDocument/2006/relationships/hyperlink" Target="https://3657373-sb1.app.netsuite.com/app/common/search/searchresults.nl?searchid=1440&amp;whence=" TargetMode="External"/><Relationship Id="rId6" Type="http://schemas.openxmlformats.org/officeDocument/2006/relationships/hyperlink" Target="https://3657373-sb1.app.netsuite.com/app/common/search/searchresults.nl?searchid=1444&amp;saverun=T&amp;whence=" TargetMode="External"/><Relationship Id="rId11" Type="http://schemas.openxmlformats.org/officeDocument/2006/relationships/hyperlink" Target="https://3657373-sb1.app.netsuite.com/app/common/search/searchresults.nl?searchid=1452&amp;saverun=T&amp;whence=" TargetMode="External"/><Relationship Id="rId24" Type="http://schemas.openxmlformats.org/officeDocument/2006/relationships/hyperlink" Target="https://3657373-sb1.app.netsuite.com/app/common/search/searchresults.nl?searchid=1491&amp;saverun=T&amp;whence=" TargetMode="External"/><Relationship Id="rId32" Type="http://schemas.openxmlformats.org/officeDocument/2006/relationships/hyperlink" Target="https://3657373-sb1.app.netsuite.com/app/common/search/searchresults.nl?searchid=1496&amp;saverun=T&amp;whence=" TargetMode="External"/><Relationship Id="rId5" Type="http://schemas.openxmlformats.org/officeDocument/2006/relationships/hyperlink" Target="https://3657373-sb1.app.netsuite.com/app/accounting/transactions/purchreq.nl?id=3623&amp;whence=" TargetMode="External"/><Relationship Id="rId15" Type="http://schemas.openxmlformats.org/officeDocument/2006/relationships/hyperlink" Target="https://3657373-sb1.app.netsuite.com/app/common/search/searchresults.nl?searchid=1470&amp;saverun=T&amp;whence=" TargetMode="External"/><Relationship Id="rId23" Type="http://schemas.openxmlformats.org/officeDocument/2006/relationships/hyperlink" Target="https://3657373-sb1.app.netsuite.com/app/common/search/savedsearch.nl?id=1490" TargetMode="External"/><Relationship Id="rId28" Type="http://schemas.openxmlformats.org/officeDocument/2006/relationships/hyperlink" Target="https://3657373-sb1.app.netsuite.com/app/common/search/searchresults.nl?searchid=1492&amp;saverun=T&amp;whence=" TargetMode="External"/><Relationship Id="rId10" Type="http://schemas.openxmlformats.org/officeDocument/2006/relationships/hyperlink" Target="https://3657373-sb1.app.netsuite.com/app/common/search/searchresults.nl?searchid=1451&amp;saverun=T&amp;whence=" TargetMode="External"/><Relationship Id="rId19" Type="http://schemas.openxmlformats.org/officeDocument/2006/relationships/hyperlink" Target="https://3657373-sb1.app.netsuite.com/app/common/search/searchresults.nl?searchid=1477&amp;saverun=T&amp;whence=" TargetMode="External"/><Relationship Id="rId31" Type="http://schemas.openxmlformats.org/officeDocument/2006/relationships/hyperlink" Target="https://3657373-sb1.app.netsuite.com/app/common/search/searchresults.nl?searchid=1495&amp;saverun=T&amp;whence=" TargetMode="External"/><Relationship Id="rId4" Type="http://schemas.openxmlformats.org/officeDocument/2006/relationships/hyperlink" Target="https://3657373-sb1.app.netsuite.com/app/common/search/searchresults.nl?searchid=1443&amp;whence=" TargetMode="External"/><Relationship Id="rId9" Type="http://schemas.openxmlformats.org/officeDocument/2006/relationships/hyperlink" Target="https://3657373-sb1.app.netsuite.com/app/common/search/searchresults.nl?searchid=1450&amp;saverun=T&amp;whence=" TargetMode="External"/><Relationship Id="rId14" Type="http://schemas.openxmlformats.org/officeDocument/2006/relationships/hyperlink" Target="https://3657373-sb1.app.netsuite.com/app/common/search/searchresults.nl?searchid=1469&amp;saverun=T&amp;whence=" TargetMode="External"/><Relationship Id="rId22" Type="http://schemas.openxmlformats.org/officeDocument/2006/relationships/hyperlink" Target="https://3657373-sb1.app.netsuite.com/app/common/search/searchresults.nl?whence=%2Fapp%2Fcommon%2Fsearch%2Fsearchresults.nl%3Fsearchid%3D1444%26saverun%3DT%26scrollid%3D1444" TargetMode="External"/><Relationship Id="rId27" Type="http://schemas.openxmlformats.org/officeDocument/2006/relationships/hyperlink" Target="https://3657373-sb1.app.netsuite.com/app/common/search/searchresults.nl?searchid=1493&amp;saverun=T&amp;whence=" TargetMode="External"/><Relationship Id="rId30" Type="http://schemas.openxmlformats.org/officeDocument/2006/relationships/hyperlink" Target="https://3657373-sb1.app.netsuite.com/app/common/search/searchresults.nl?searchid=1494&amp;saverun=T&amp;whence=" TargetMode="External"/><Relationship Id="rId8" Type="http://schemas.openxmlformats.org/officeDocument/2006/relationships/hyperlink" Target="https://3657373-sb1.app.netsuite.com/app/common/search/searchresults.nl?searchid=1446&amp;saverun=T&amp;whenc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3657373-sb1.app.netsuite.com/app/center/card.nl?sc=-29&amp;whence="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3657373-sb1.app.netsuite.com/app/accounting/transactions/purchord.nl?id=372&amp;whence=" TargetMode="Externa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FAA11-F432-7C42-B553-A395060A26C2}">
  <sheetPr>
    <tabColor rgb="FFFFFF00"/>
  </sheetPr>
  <dimension ref="A1:O32"/>
  <sheetViews>
    <sheetView topLeftCell="C25" zoomScale="85" zoomScaleNormal="85" workbookViewId="0">
      <selection activeCell="H32" sqref="H32"/>
    </sheetView>
  </sheetViews>
  <sheetFormatPr defaultColWidth="8.85546875" defaultRowHeight="18.600000000000001"/>
  <cols>
    <col min="1" max="1" width="23.42578125" style="8" customWidth="1"/>
    <col min="2" max="2" width="30.42578125" style="8" customWidth="1"/>
    <col min="3" max="3" width="46.42578125" style="12" customWidth="1"/>
    <col min="4" max="4" width="8.28515625" style="8" bestFit="1" customWidth="1"/>
    <col min="5" max="5" width="36.28515625" style="8" customWidth="1"/>
    <col min="6" max="6" width="102.7109375" style="8" bestFit="1" customWidth="1"/>
    <col min="7" max="7" width="43.42578125" style="8" customWidth="1"/>
    <col min="8" max="8" width="14.42578125" style="8" customWidth="1"/>
    <col min="9" max="9" width="14" style="8" customWidth="1"/>
    <col min="10" max="10" width="22.28515625" style="8" customWidth="1"/>
    <col min="11" max="11" width="17.42578125" style="8" customWidth="1"/>
    <col min="12" max="12" width="17.28515625" style="8" bestFit="1" customWidth="1"/>
    <col min="13" max="13" width="26.28515625" style="8" customWidth="1"/>
    <col min="14" max="14" width="69" style="8" customWidth="1"/>
    <col min="15" max="15" width="49.42578125" style="8" customWidth="1"/>
    <col min="16" max="16384" width="8.85546875" style="8"/>
  </cols>
  <sheetData>
    <row r="1" spans="1:15">
      <c r="A1" s="7" t="s">
        <v>0</v>
      </c>
      <c r="B1" s="7" t="s">
        <v>1</v>
      </c>
      <c r="C1" s="7" t="s">
        <v>2</v>
      </c>
      <c r="D1" s="7" t="s">
        <v>3</v>
      </c>
      <c r="E1" s="7" t="s">
        <v>4</v>
      </c>
      <c r="F1" s="7" t="s">
        <v>5</v>
      </c>
      <c r="G1" s="7" t="s">
        <v>6</v>
      </c>
      <c r="H1" s="7" t="s">
        <v>7</v>
      </c>
      <c r="I1" s="7" t="s">
        <v>8</v>
      </c>
      <c r="J1" s="7" t="s">
        <v>9</v>
      </c>
      <c r="K1" s="7" t="s">
        <v>10</v>
      </c>
      <c r="L1" s="7" t="s">
        <v>11</v>
      </c>
      <c r="M1" s="7" t="s">
        <v>12</v>
      </c>
      <c r="N1" s="9" t="s">
        <v>13</v>
      </c>
    </row>
    <row r="2" spans="1:15">
      <c r="A2" s="201" t="s">
        <v>14</v>
      </c>
      <c r="B2" s="201"/>
      <c r="C2" s="201"/>
      <c r="D2" s="201"/>
      <c r="E2" s="201"/>
      <c r="F2" s="201"/>
      <c r="G2" s="201"/>
      <c r="H2" s="201"/>
      <c r="I2" s="201"/>
      <c r="J2" s="201"/>
      <c r="K2" s="201"/>
      <c r="L2" s="201"/>
      <c r="M2" s="201"/>
      <c r="N2" s="1"/>
    </row>
    <row r="3" spans="1:15">
      <c r="A3" s="202"/>
      <c r="B3" s="203"/>
      <c r="C3" s="203"/>
      <c r="D3" s="203"/>
      <c r="E3" s="203"/>
      <c r="F3" s="203"/>
      <c r="G3" s="203"/>
      <c r="H3" s="203"/>
      <c r="I3" s="203"/>
      <c r="J3" s="203"/>
      <c r="K3" s="203"/>
      <c r="L3" s="203"/>
      <c r="M3" s="204"/>
      <c r="N3" s="1"/>
    </row>
    <row r="4" spans="1:15" s="11" customFormat="1">
      <c r="A4" s="191" t="s">
        <v>15</v>
      </c>
      <c r="B4" s="192"/>
      <c r="C4" s="192"/>
      <c r="D4" s="192"/>
      <c r="E4" s="192"/>
      <c r="F4" s="192"/>
      <c r="G4" s="192"/>
      <c r="H4" s="192"/>
      <c r="I4" s="192"/>
      <c r="J4" s="192"/>
      <c r="K4" s="192"/>
      <c r="L4" s="192"/>
      <c r="M4" s="193"/>
      <c r="N4" s="10"/>
    </row>
    <row r="5" spans="1:15">
      <c r="A5" s="194" t="s">
        <v>16</v>
      </c>
      <c r="B5" s="194"/>
      <c r="C5" s="194"/>
      <c r="D5" s="194"/>
      <c r="E5" s="194"/>
      <c r="F5" s="194"/>
      <c r="G5" s="194"/>
      <c r="H5" s="194"/>
      <c r="I5" s="194"/>
      <c r="J5" s="194"/>
      <c r="K5" s="194"/>
      <c r="L5" s="194"/>
      <c r="M5" s="194"/>
      <c r="N5" s="1"/>
    </row>
    <row r="6" spans="1:15" ht="230.25" customHeight="1">
      <c r="A6" s="1" t="s">
        <v>17</v>
      </c>
      <c r="B6" s="1" t="s">
        <v>18</v>
      </c>
      <c r="C6" s="1" t="s">
        <v>19</v>
      </c>
      <c r="D6" s="1" t="s">
        <v>20</v>
      </c>
      <c r="E6" s="1" t="s">
        <v>18</v>
      </c>
      <c r="F6" s="2" t="s">
        <v>21</v>
      </c>
      <c r="G6" s="2" t="s">
        <v>22</v>
      </c>
      <c r="H6" s="1" t="s">
        <v>23</v>
      </c>
      <c r="I6" s="1" t="s">
        <v>23</v>
      </c>
      <c r="J6" s="1" t="s">
        <v>24</v>
      </c>
      <c r="K6" s="1" t="s">
        <v>25</v>
      </c>
      <c r="L6" s="1" t="s">
        <v>26</v>
      </c>
      <c r="M6" s="1"/>
      <c r="N6" s="1" t="s">
        <v>27</v>
      </c>
    </row>
    <row r="7" spans="1:15" ht="144">
      <c r="A7" s="1" t="s">
        <v>28</v>
      </c>
      <c r="B7" s="1" t="s">
        <v>18</v>
      </c>
      <c r="C7" s="1" t="s">
        <v>19</v>
      </c>
      <c r="D7" s="1" t="s">
        <v>20</v>
      </c>
      <c r="E7" s="1" t="s">
        <v>29</v>
      </c>
      <c r="F7" s="3" t="s">
        <v>30</v>
      </c>
      <c r="G7" s="2" t="s">
        <v>31</v>
      </c>
      <c r="H7" s="1" t="s">
        <v>23</v>
      </c>
      <c r="I7" s="1" t="s">
        <v>23</v>
      </c>
      <c r="J7" s="1" t="s">
        <v>24</v>
      </c>
      <c r="K7" s="1" t="s">
        <v>25</v>
      </c>
      <c r="L7" s="1" t="s">
        <v>32</v>
      </c>
      <c r="M7" s="1"/>
      <c r="N7" s="1" t="s">
        <v>33</v>
      </c>
    </row>
    <row r="8" spans="1:15" ht="72">
      <c r="A8" s="1" t="s">
        <v>34</v>
      </c>
      <c r="B8" s="1" t="s">
        <v>35</v>
      </c>
      <c r="C8" s="1" t="s">
        <v>19</v>
      </c>
      <c r="D8" s="1" t="s">
        <v>20</v>
      </c>
      <c r="E8" s="1" t="s">
        <v>35</v>
      </c>
      <c r="F8" s="3" t="s">
        <v>36</v>
      </c>
      <c r="G8" s="2" t="s">
        <v>37</v>
      </c>
      <c r="H8" s="1" t="s">
        <v>23</v>
      </c>
      <c r="I8" s="1" t="s">
        <v>23</v>
      </c>
      <c r="J8" s="1" t="s">
        <v>24</v>
      </c>
      <c r="K8" s="1" t="s">
        <v>25</v>
      </c>
      <c r="L8" s="1" t="s">
        <v>38</v>
      </c>
      <c r="M8" s="1"/>
      <c r="N8" s="1"/>
    </row>
    <row r="9" spans="1:15" ht="74.099999999999994">
      <c r="A9" s="1" t="s">
        <v>39</v>
      </c>
      <c r="B9" s="1" t="s">
        <v>40</v>
      </c>
      <c r="C9" s="1" t="s">
        <v>19</v>
      </c>
      <c r="D9" s="1" t="s">
        <v>20</v>
      </c>
      <c r="E9" s="1" t="s">
        <v>40</v>
      </c>
      <c r="F9" s="2" t="s">
        <v>41</v>
      </c>
      <c r="G9" s="2" t="s">
        <v>42</v>
      </c>
      <c r="H9" s="1" t="s">
        <v>23</v>
      </c>
      <c r="I9" s="1" t="s">
        <v>23</v>
      </c>
      <c r="J9" s="1" t="s">
        <v>24</v>
      </c>
      <c r="K9" s="1" t="s">
        <v>25</v>
      </c>
      <c r="L9" s="1" t="s">
        <v>43</v>
      </c>
      <c r="M9" s="1"/>
      <c r="N9" s="1" t="s">
        <v>44</v>
      </c>
      <c r="O9" s="13" t="s">
        <v>45</v>
      </c>
    </row>
    <row r="10" spans="1:15" s="11" customFormat="1">
      <c r="A10" s="191" t="s">
        <v>46</v>
      </c>
      <c r="B10" s="192"/>
      <c r="C10" s="192"/>
      <c r="D10" s="192"/>
      <c r="E10" s="192"/>
      <c r="F10" s="192"/>
      <c r="G10" s="192"/>
      <c r="H10" s="192"/>
      <c r="I10" s="192"/>
      <c r="J10" s="192"/>
      <c r="K10" s="192"/>
      <c r="L10" s="192"/>
      <c r="M10" s="193"/>
      <c r="N10" s="10"/>
    </row>
    <row r="11" spans="1:15">
      <c r="A11" s="198" t="s">
        <v>47</v>
      </c>
      <c r="B11" s="199"/>
      <c r="C11" s="199"/>
      <c r="D11" s="199"/>
      <c r="E11" s="199"/>
      <c r="F11" s="199"/>
      <c r="G11" s="199"/>
      <c r="H11" s="199"/>
      <c r="I11" s="199"/>
      <c r="J11" s="199"/>
      <c r="K11" s="199"/>
      <c r="L11" s="199"/>
      <c r="M11" s="200"/>
      <c r="N11" s="1"/>
    </row>
    <row r="12" spans="1:15" ht="126">
      <c r="A12" s="1" t="s">
        <v>48</v>
      </c>
      <c r="B12" s="1" t="s">
        <v>49</v>
      </c>
      <c r="C12" s="1" t="s">
        <v>50</v>
      </c>
      <c r="D12" s="1" t="s">
        <v>20</v>
      </c>
      <c r="E12" s="1" t="s">
        <v>51</v>
      </c>
      <c r="F12" s="2" t="s">
        <v>52</v>
      </c>
      <c r="G12" s="2" t="s">
        <v>53</v>
      </c>
      <c r="H12" s="1"/>
      <c r="I12" s="1"/>
      <c r="J12" s="1" t="s">
        <v>54</v>
      </c>
      <c r="K12" s="1"/>
      <c r="L12" s="1"/>
      <c r="M12" s="1"/>
      <c r="N12" s="1"/>
    </row>
    <row r="13" spans="1:15" ht="54">
      <c r="A13" s="1" t="s">
        <v>55</v>
      </c>
      <c r="B13" s="1" t="s">
        <v>49</v>
      </c>
      <c r="C13" s="1" t="s">
        <v>50</v>
      </c>
      <c r="D13" s="1" t="s">
        <v>20</v>
      </c>
      <c r="E13" s="1" t="s">
        <v>56</v>
      </c>
      <c r="F13" s="2" t="s">
        <v>57</v>
      </c>
      <c r="G13" s="2" t="s">
        <v>58</v>
      </c>
      <c r="H13" s="1"/>
      <c r="I13" s="1"/>
      <c r="J13" s="1" t="s">
        <v>54</v>
      </c>
      <c r="K13" s="1"/>
      <c r="L13" s="1"/>
      <c r="M13" s="1"/>
      <c r="N13" s="1"/>
    </row>
    <row r="14" spans="1:15">
      <c r="C14" s="8"/>
    </row>
    <row r="15" spans="1:15" s="11" customFormat="1">
      <c r="A15" s="191" t="s">
        <v>59</v>
      </c>
      <c r="B15" s="192"/>
      <c r="C15" s="192"/>
      <c r="D15" s="192"/>
      <c r="E15" s="192"/>
      <c r="F15" s="192"/>
      <c r="G15" s="192"/>
      <c r="H15" s="192"/>
      <c r="I15" s="192"/>
      <c r="J15" s="192"/>
      <c r="K15" s="192"/>
      <c r="L15" s="192"/>
      <c r="M15" s="193"/>
      <c r="N15" s="10"/>
    </row>
    <row r="16" spans="1:15">
      <c r="A16" s="194" t="s">
        <v>60</v>
      </c>
      <c r="B16" s="194"/>
      <c r="C16" s="194"/>
      <c r="D16" s="194"/>
      <c r="E16" s="194"/>
      <c r="F16" s="194"/>
      <c r="G16" s="194"/>
      <c r="H16" s="194"/>
      <c r="I16" s="194"/>
      <c r="J16" s="194"/>
      <c r="K16" s="194"/>
      <c r="L16" s="194"/>
      <c r="M16" s="194"/>
      <c r="N16" s="1"/>
    </row>
    <row r="17" spans="1:14" ht="161.44999999999999">
      <c r="A17" s="1" t="s">
        <v>61</v>
      </c>
      <c r="B17" s="1" t="s">
        <v>62</v>
      </c>
      <c r="C17" s="1" t="s">
        <v>63</v>
      </c>
      <c r="D17" s="1" t="s">
        <v>20</v>
      </c>
      <c r="E17" s="1" t="s">
        <v>64</v>
      </c>
      <c r="F17" s="2" t="s">
        <v>65</v>
      </c>
      <c r="G17" s="3" t="s">
        <v>66</v>
      </c>
      <c r="H17" s="1" t="s">
        <v>23</v>
      </c>
      <c r="I17" s="1"/>
      <c r="J17" s="1" t="s">
        <v>24</v>
      </c>
      <c r="K17" s="1"/>
      <c r="L17" s="1"/>
      <c r="M17" s="1" t="s">
        <v>67</v>
      </c>
      <c r="N17" s="1" t="s">
        <v>68</v>
      </c>
    </row>
    <row r="18" spans="1:14" ht="162">
      <c r="A18" s="1" t="s">
        <v>69</v>
      </c>
      <c r="B18" s="1" t="s">
        <v>62</v>
      </c>
      <c r="C18" s="1" t="s">
        <v>63</v>
      </c>
      <c r="D18" s="1" t="s">
        <v>20</v>
      </c>
      <c r="E18" s="1" t="s">
        <v>70</v>
      </c>
      <c r="F18" s="2" t="s">
        <v>71</v>
      </c>
      <c r="G18" s="3" t="s">
        <v>66</v>
      </c>
      <c r="H18" s="1" t="s">
        <v>23</v>
      </c>
      <c r="I18" s="1"/>
      <c r="J18" s="1" t="s">
        <v>24</v>
      </c>
      <c r="K18" s="1"/>
      <c r="L18" s="1"/>
      <c r="M18" s="1" t="s">
        <v>72</v>
      </c>
      <c r="N18" s="1" t="s">
        <v>73</v>
      </c>
    </row>
    <row r="19" spans="1:14" ht="162">
      <c r="A19" s="1" t="s">
        <v>74</v>
      </c>
      <c r="B19" s="1" t="s">
        <v>62</v>
      </c>
      <c r="C19" s="1" t="s">
        <v>63</v>
      </c>
      <c r="D19" s="1" t="s">
        <v>20</v>
      </c>
      <c r="E19" s="1" t="s">
        <v>75</v>
      </c>
      <c r="F19" s="2" t="s">
        <v>71</v>
      </c>
      <c r="G19" s="3" t="s">
        <v>66</v>
      </c>
      <c r="H19" s="1" t="s">
        <v>23</v>
      </c>
      <c r="I19" s="1"/>
      <c r="J19" s="1" t="s">
        <v>24</v>
      </c>
      <c r="K19" s="1"/>
      <c r="L19" s="1"/>
      <c r="M19" s="1" t="s">
        <v>76</v>
      </c>
      <c r="N19" s="1"/>
    </row>
    <row r="20" spans="1:14">
      <c r="A20" s="195" t="s">
        <v>77</v>
      </c>
      <c r="B20" s="196"/>
      <c r="C20" s="196"/>
      <c r="D20" s="196"/>
      <c r="E20" s="196"/>
      <c r="F20" s="196"/>
      <c r="G20" s="196"/>
      <c r="H20" s="196"/>
      <c r="I20" s="196"/>
      <c r="J20" s="196"/>
      <c r="K20" s="196"/>
      <c r="L20" s="196"/>
      <c r="M20" s="197"/>
      <c r="N20" s="1"/>
    </row>
    <row r="21" spans="1:14" ht="198">
      <c r="A21" s="1" t="s">
        <v>78</v>
      </c>
      <c r="B21" s="1" t="s">
        <v>79</v>
      </c>
      <c r="C21" s="1" t="s">
        <v>63</v>
      </c>
      <c r="D21" s="1" t="s">
        <v>20</v>
      </c>
      <c r="E21" s="1" t="s">
        <v>80</v>
      </c>
      <c r="F21" s="2" t="s">
        <v>81</v>
      </c>
      <c r="G21" s="2" t="s">
        <v>82</v>
      </c>
      <c r="H21" s="1" t="s">
        <v>23</v>
      </c>
      <c r="I21" s="1"/>
      <c r="J21" s="1" t="s">
        <v>24</v>
      </c>
      <c r="K21" s="1"/>
      <c r="L21" s="1" t="s">
        <v>83</v>
      </c>
      <c r="M21" s="1"/>
      <c r="N21" s="1"/>
    </row>
    <row r="22" spans="1:14" s="11" customFormat="1">
      <c r="A22" s="191" t="s">
        <v>84</v>
      </c>
      <c r="B22" s="192"/>
      <c r="C22" s="192"/>
      <c r="D22" s="192"/>
      <c r="E22" s="192"/>
      <c r="F22" s="192"/>
      <c r="G22" s="192"/>
      <c r="H22" s="192"/>
      <c r="I22" s="192"/>
      <c r="J22" s="192"/>
      <c r="K22" s="192"/>
      <c r="L22" s="192"/>
      <c r="M22" s="193"/>
      <c r="N22" s="10"/>
    </row>
    <row r="23" spans="1:14">
      <c r="A23" s="188" t="s">
        <v>85</v>
      </c>
      <c r="B23" s="189"/>
      <c r="C23" s="189"/>
      <c r="D23" s="189"/>
      <c r="E23" s="189"/>
      <c r="F23" s="189"/>
      <c r="G23" s="189"/>
      <c r="H23" s="189"/>
      <c r="I23" s="189"/>
      <c r="J23" s="189"/>
      <c r="K23" s="189"/>
      <c r="L23" s="189"/>
      <c r="M23" s="190"/>
      <c r="N23" s="1"/>
    </row>
    <row r="24" spans="1:14" ht="216">
      <c r="A24" s="1" t="s">
        <v>86</v>
      </c>
      <c r="B24" s="1" t="s">
        <v>87</v>
      </c>
      <c r="C24" s="1" t="s">
        <v>63</v>
      </c>
      <c r="D24" s="1" t="s">
        <v>20</v>
      </c>
      <c r="E24" s="1" t="s">
        <v>88</v>
      </c>
      <c r="F24" s="2" t="s">
        <v>89</v>
      </c>
      <c r="G24" s="3" t="s">
        <v>90</v>
      </c>
      <c r="H24" s="1" t="s">
        <v>23</v>
      </c>
      <c r="I24" s="1"/>
      <c r="J24" s="1" t="s">
        <v>24</v>
      </c>
      <c r="K24" s="1"/>
      <c r="L24" s="1" t="s">
        <v>91</v>
      </c>
      <c r="M24" s="1"/>
      <c r="N24" s="1" t="s">
        <v>92</v>
      </c>
    </row>
    <row r="25" spans="1:14" ht="180">
      <c r="A25" s="1" t="s">
        <v>93</v>
      </c>
      <c r="B25" s="1" t="s">
        <v>87</v>
      </c>
      <c r="C25" s="1" t="s">
        <v>63</v>
      </c>
      <c r="D25" s="1" t="s">
        <v>20</v>
      </c>
      <c r="E25" s="1" t="s">
        <v>94</v>
      </c>
      <c r="F25" s="2" t="s">
        <v>95</v>
      </c>
      <c r="G25" s="3" t="s">
        <v>96</v>
      </c>
      <c r="H25" s="1" t="s">
        <v>23</v>
      </c>
      <c r="I25" s="1"/>
      <c r="J25" s="1" t="s">
        <v>24</v>
      </c>
      <c r="K25" s="1"/>
      <c r="L25" s="1" t="s">
        <v>97</v>
      </c>
      <c r="M25" s="1"/>
      <c r="N25" s="1"/>
    </row>
    <row r="26" spans="1:14">
      <c r="A26" s="191" t="s">
        <v>98</v>
      </c>
      <c r="B26" s="192"/>
      <c r="C26" s="192"/>
      <c r="D26" s="192"/>
      <c r="E26" s="192"/>
      <c r="F26" s="192"/>
      <c r="G26" s="192"/>
      <c r="H26" s="192"/>
      <c r="I26" s="192"/>
      <c r="J26" s="192"/>
      <c r="K26" s="192"/>
      <c r="L26" s="192"/>
      <c r="M26" s="193"/>
      <c r="N26" s="10"/>
    </row>
    <row r="27" spans="1:14">
      <c r="A27" s="188" t="s">
        <v>99</v>
      </c>
      <c r="B27" s="189"/>
      <c r="C27" s="189"/>
      <c r="D27" s="189"/>
      <c r="E27" s="189"/>
      <c r="F27" s="189"/>
      <c r="G27" s="189"/>
      <c r="H27" s="189"/>
      <c r="I27" s="189"/>
      <c r="J27" s="189"/>
      <c r="K27" s="189"/>
      <c r="L27" s="189"/>
      <c r="M27" s="190"/>
      <c r="N27" s="1"/>
    </row>
    <row r="28" spans="1:14" ht="72">
      <c r="A28" s="1" t="s">
        <v>100</v>
      </c>
      <c r="B28" s="1" t="s">
        <v>101</v>
      </c>
      <c r="C28" s="1" t="s">
        <v>19</v>
      </c>
      <c r="D28" s="1" t="s">
        <v>20</v>
      </c>
      <c r="E28" s="1" t="s">
        <v>102</v>
      </c>
      <c r="F28" s="2" t="s">
        <v>103</v>
      </c>
      <c r="G28" s="2" t="s">
        <v>104</v>
      </c>
      <c r="H28" s="1" t="s">
        <v>23</v>
      </c>
      <c r="I28" s="1" t="s">
        <v>23</v>
      </c>
      <c r="J28" s="1" t="s">
        <v>24</v>
      </c>
      <c r="K28" s="1" t="s">
        <v>25</v>
      </c>
      <c r="L28" s="1" t="s">
        <v>105</v>
      </c>
      <c r="M28" s="1"/>
      <c r="N28" s="1"/>
    </row>
    <row r="29" spans="1:14" ht="90">
      <c r="A29" s="1" t="s">
        <v>106</v>
      </c>
      <c r="B29" s="1" t="s">
        <v>107</v>
      </c>
      <c r="C29" s="1" t="s">
        <v>108</v>
      </c>
      <c r="D29" s="1" t="s">
        <v>109</v>
      </c>
      <c r="E29" s="1" t="s">
        <v>110</v>
      </c>
      <c r="F29" s="2" t="s">
        <v>111</v>
      </c>
      <c r="G29" s="2" t="s">
        <v>112</v>
      </c>
      <c r="H29" s="1"/>
      <c r="I29" s="1"/>
      <c r="J29" s="1" t="s">
        <v>54</v>
      </c>
      <c r="K29" s="1"/>
      <c r="L29" s="1"/>
      <c r="M29" s="1"/>
      <c r="N29" s="1"/>
    </row>
    <row r="30" spans="1:14" s="11" customFormat="1">
      <c r="A30" s="191" t="s">
        <v>113</v>
      </c>
      <c r="B30" s="192"/>
      <c r="C30" s="192"/>
      <c r="D30" s="192"/>
      <c r="E30" s="192"/>
      <c r="F30" s="192"/>
      <c r="G30" s="192"/>
      <c r="H30" s="192"/>
      <c r="I30" s="192"/>
      <c r="J30" s="192"/>
      <c r="K30" s="192"/>
      <c r="L30" s="192"/>
      <c r="M30" s="193"/>
      <c r="N30" s="10"/>
    </row>
    <row r="31" spans="1:14">
      <c r="A31" s="188" t="s">
        <v>114</v>
      </c>
      <c r="B31" s="189"/>
      <c r="C31" s="189"/>
      <c r="D31" s="189"/>
      <c r="E31" s="189"/>
      <c r="F31" s="189"/>
      <c r="G31" s="189"/>
      <c r="H31" s="189"/>
      <c r="I31" s="189"/>
      <c r="J31" s="189"/>
      <c r="K31" s="189"/>
      <c r="L31" s="189"/>
      <c r="M31" s="190"/>
      <c r="N31" s="1"/>
    </row>
    <row r="32" spans="1:14" ht="162">
      <c r="A32" s="1" t="s">
        <v>115</v>
      </c>
      <c r="B32" s="4" t="s">
        <v>116</v>
      </c>
      <c r="C32" s="6" t="s">
        <v>63</v>
      </c>
      <c r="D32" s="5" t="s">
        <v>20</v>
      </c>
      <c r="E32" s="6" t="s">
        <v>116</v>
      </c>
      <c r="F32" s="2" t="s">
        <v>117</v>
      </c>
      <c r="G32" s="1" t="s">
        <v>118</v>
      </c>
      <c r="H32" s="1" t="s">
        <v>23</v>
      </c>
      <c r="I32" s="1" t="s">
        <v>23</v>
      </c>
      <c r="J32" s="1" t="s">
        <v>24</v>
      </c>
      <c r="K32" s="1" t="s">
        <v>25</v>
      </c>
      <c r="L32" s="1" t="s">
        <v>119</v>
      </c>
      <c r="M32" s="1"/>
      <c r="N32" s="6"/>
    </row>
  </sheetData>
  <mergeCells count="15">
    <mergeCell ref="A11:M11"/>
    <mergeCell ref="A2:M2"/>
    <mergeCell ref="A3:M3"/>
    <mergeCell ref="A4:M4"/>
    <mergeCell ref="A5:M5"/>
    <mergeCell ref="A10:M10"/>
    <mergeCell ref="A27:M27"/>
    <mergeCell ref="A30:M30"/>
    <mergeCell ref="A31:M31"/>
    <mergeCell ref="A15:M15"/>
    <mergeCell ref="A16:M16"/>
    <mergeCell ref="A20:M20"/>
    <mergeCell ref="A22:M22"/>
    <mergeCell ref="A23:M23"/>
    <mergeCell ref="A26:M26"/>
  </mergeCells>
  <dataValidations count="2">
    <dataValidation type="list" allowBlank="1" showErrorMessage="1" sqref="K24:K25 K17:K19 K28:K29 K12:K13 K6:K9 K21 K32" xr:uid="{B395979A-582D-8D43-9488-AE262A24742D}">
      <formula1>"New,Retest"</formula1>
    </dataValidation>
    <dataValidation type="list" allowBlank="1" showErrorMessage="1" sqref="H28:I29 H21:I21 H32:I32 H6:I9 H12:I13 H17:I19 H24:I25" xr:uid="{1DB5BF1F-105F-0B4D-A81D-57F5ACEE715A}">
      <formula1>"Pass,Fail"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79A8-4BB1-4D17-90A5-F54DD1A288A5}">
  <dimension ref="A2:H40"/>
  <sheetViews>
    <sheetView topLeftCell="A16" workbookViewId="0">
      <selection activeCell="M38" sqref="M38"/>
    </sheetView>
  </sheetViews>
  <sheetFormatPr defaultRowHeight="14.45"/>
  <cols>
    <col min="1" max="1" width="38.140625" bestFit="1" customWidth="1"/>
    <col min="2" max="2" width="10.85546875" bestFit="1" customWidth="1"/>
    <col min="3" max="3" width="11" bestFit="1" customWidth="1"/>
    <col min="4" max="4" width="11.42578125" bestFit="1" customWidth="1"/>
    <col min="5" max="5" width="24.5703125" bestFit="1" customWidth="1"/>
    <col min="6" max="6" width="7.5703125" bestFit="1" customWidth="1"/>
    <col min="7" max="7" width="7.42578125" bestFit="1" customWidth="1"/>
    <col min="8" max="8" width="11.7109375" bestFit="1" customWidth="1"/>
  </cols>
  <sheetData>
    <row r="2" spans="1:6">
      <c r="A2" s="41" t="s">
        <v>120</v>
      </c>
      <c r="B2" s="41" t="s">
        <v>121</v>
      </c>
    </row>
    <row r="3" spans="1:6">
      <c r="A3" s="41" t="s">
        <v>122</v>
      </c>
      <c r="B3" t="s">
        <v>123</v>
      </c>
      <c r="C3" t="s">
        <v>124</v>
      </c>
      <c r="D3" t="s">
        <v>125</v>
      </c>
      <c r="E3" t="s">
        <v>126</v>
      </c>
      <c r="F3" t="s">
        <v>127</v>
      </c>
    </row>
    <row r="4" spans="1:6">
      <c r="A4" t="s">
        <v>128</v>
      </c>
      <c r="B4">
        <v>25</v>
      </c>
      <c r="D4">
        <v>79</v>
      </c>
      <c r="F4">
        <v>104</v>
      </c>
    </row>
    <row r="5" spans="1:6">
      <c r="A5" t="s">
        <v>129</v>
      </c>
      <c r="B5">
        <v>8</v>
      </c>
      <c r="C5">
        <v>1</v>
      </c>
      <c r="D5">
        <v>7</v>
      </c>
      <c r="F5">
        <v>16</v>
      </c>
    </row>
    <row r="6" spans="1:6">
      <c r="A6" t="s">
        <v>130</v>
      </c>
      <c r="B6">
        <v>12</v>
      </c>
      <c r="D6">
        <v>60</v>
      </c>
      <c r="F6">
        <v>72</v>
      </c>
    </row>
    <row r="7" spans="1:6">
      <c r="A7" t="s">
        <v>131</v>
      </c>
      <c r="B7">
        <v>57</v>
      </c>
      <c r="D7">
        <v>4</v>
      </c>
      <c r="F7">
        <v>61</v>
      </c>
    </row>
    <row r="8" spans="1:6">
      <c r="A8" t="s">
        <v>132</v>
      </c>
      <c r="B8">
        <v>2</v>
      </c>
      <c r="D8">
        <v>10</v>
      </c>
      <c r="F8">
        <v>12</v>
      </c>
    </row>
    <row r="9" spans="1:6">
      <c r="A9" t="s">
        <v>133</v>
      </c>
      <c r="D9">
        <v>2</v>
      </c>
      <c r="F9">
        <v>2</v>
      </c>
    </row>
    <row r="10" spans="1:6">
      <c r="A10" t="s">
        <v>126</v>
      </c>
    </row>
    <row r="11" spans="1:6">
      <c r="A11" t="s">
        <v>134</v>
      </c>
      <c r="D11">
        <v>4</v>
      </c>
      <c r="F11">
        <v>4</v>
      </c>
    </row>
    <row r="12" spans="1:6">
      <c r="A12" t="s">
        <v>127</v>
      </c>
      <c r="B12">
        <v>104</v>
      </c>
      <c r="C12">
        <v>1</v>
      </c>
      <c r="D12">
        <v>166</v>
      </c>
      <c r="F12">
        <v>271</v>
      </c>
    </row>
    <row r="14" spans="1:6">
      <c r="A14" t="s">
        <v>135</v>
      </c>
    </row>
    <row r="16" spans="1:6">
      <c r="B16" s="41" t="s">
        <v>121</v>
      </c>
    </row>
    <row r="17" spans="1:8">
      <c r="B17" t="s">
        <v>123</v>
      </c>
      <c r="C17" t="s">
        <v>124</v>
      </c>
      <c r="D17" t="s">
        <v>125</v>
      </c>
      <c r="E17" t="s">
        <v>136</v>
      </c>
      <c r="F17" t="s">
        <v>137</v>
      </c>
      <c r="G17" t="s">
        <v>126</v>
      </c>
      <c r="H17" t="s">
        <v>127</v>
      </c>
    </row>
    <row r="18" spans="1:8">
      <c r="A18" t="s">
        <v>138</v>
      </c>
      <c r="B18">
        <v>41</v>
      </c>
      <c r="C18">
        <v>2</v>
      </c>
      <c r="D18">
        <v>53</v>
      </c>
      <c r="E18">
        <v>4</v>
      </c>
      <c r="F18">
        <v>1</v>
      </c>
      <c r="H18">
        <v>101</v>
      </c>
    </row>
    <row r="20" spans="1:8">
      <c r="A20" t="s">
        <v>139</v>
      </c>
    </row>
    <row r="22" spans="1:8">
      <c r="A22" s="41"/>
      <c r="B22" s="41" t="s">
        <v>140</v>
      </c>
    </row>
    <row r="23" spans="1:8">
      <c r="B23" t="s">
        <v>141</v>
      </c>
      <c r="C23" t="s">
        <v>142</v>
      </c>
      <c r="D23" t="s">
        <v>126</v>
      </c>
      <c r="E23" t="s">
        <v>127</v>
      </c>
    </row>
    <row r="24" spans="1:8">
      <c r="A24" t="s">
        <v>143</v>
      </c>
      <c r="B24">
        <v>10</v>
      </c>
      <c r="C24">
        <v>59</v>
      </c>
      <c r="E24">
        <v>69</v>
      </c>
    </row>
    <row r="27" spans="1:8">
      <c r="A27" s="41" t="s">
        <v>138</v>
      </c>
      <c r="B27" s="41" t="s">
        <v>121</v>
      </c>
    </row>
    <row r="28" spans="1:8">
      <c r="A28" s="41" t="s">
        <v>144</v>
      </c>
      <c r="B28" t="s">
        <v>123</v>
      </c>
      <c r="C28" t="s">
        <v>124</v>
      </c>
      <c r="D28" t="s">
        <v>125</v>
      </c>
      <c r="E28" t="s">
        <v>136</v>
      </c>
      <c r="F28" t="s">
        <v>137</v>
      </c>
      <c r="G28" t="s">
        <v>126</v>
      </c>
      <c r="H28" t="s">
        <v>127</v>
      </c>
    </row>
    <row r="29" spans="1:8">
      <c r="A29" t="s">
        <v>145</v>
      </c>
      <c r="B29">
        <v>1</v>
      </c>
      <c r="D29">
        <v>8</v>
      </c>
      <c r="H29">
        <v>9</v>
      </c>
    </row>
    <row r="30" spans="1:8">
      <c r="A30" t="s">
        <v>146</v>
      </c>
      <c r="D30">
        <v>2</v>
      </c>
      <c r="H30">
        <v>2</v>
      </c>
    </row>
    <row r="31" spans="1:8">
      <c r="A31" t="s">
        <v>128</v>
      </c>
      <c r="B31">
        <v>3</v>
      </c>
      <c r="D31">
        <v>4</v>
      </c>
      <c r="H31">
        <v>7</v>
      </c>
    </row>
    <row r="32" spans="1:8">
      <c r="A32" t="s">
        <v>147</v>
      </c>
      <c r="D32">
        <v>2</v>
      </c>
      <c r="H32">
        <v>2</v>
      </c>
    </row>
    <row r="33" spans="1:8">
      <c r="A33" t="s">
        <v>148</v>
      </c>
      <c r="F33">
        <v>1</v>
      </c>
      <c r="H33">
        <v>1</v>
      </c>
    </row>
    <row r="34" spans="1:8">
      <c r="A34" t="s">
        <v>149</v>
      </c>
      <c r="B34">
        <v>2</v>
      </c>
      <c r="D34">
        <v>2</v>
      </c>
      <c r="H34">
        <v>4</v>
      </c>
    </row>
    <row r="35" spans="1:8">
      <c r="A35" t="s">
        <v>129</v>
      </c>
      <c r="B35">
        <v>12</v>
      </c>
      <c r="C35">
        <v>1</v>
      </c>
      <c r="D35">
        <v>8</v>
      </c>
      <c r="H35">
        <v>21</v>
      </c>
    </row>
    <row r="36" spans="1:8">
      <c r="A36" t="s">
        <v>130</v>
      </c>
      <c r="B36">
        <v>9</v>
      </c>
      <c r="D36">
        <v>7</v>
      </c>
      <c r="E36">
        <v>4</v>
      </c>
      <c r="H36">
        <v>20</v>
      </c>
    </row>
    <row r="37" spans="1:8">
      <c r="A37" t="s">
        <v>131</v>
      </c>
      <c r="B37">
        <v>14</v>
      </c>
      <c r="D37">
        <v>20</v>
      </c>
      <c r="H37">
        <v>34</v>
      </c>
    </row>
    <row r="38" spans="1:8">
      <c r="A38" t="s">
        <v>150</v>
      </c>
      <c r="C38">
        <v>1</v>
      </c>
      <c r="H38">
        <v>1</v>
      </c>
    </row>
    <row r="39" spans="1:8">
      <c r="A39" t="s">
        <v>126</v>
      </c>
    </row>
    <row r="40" spans="1:8">
      <c r="A40" t="s">
        <v>127</v>
      </c>
      <c r="B40">
        <v>41</v>
      </c>
      <c r="C40">
        <v>2</v>
      </c>
      <c r="D40">
        <v>53</v>
      </c>
      <c r="E40">
        <v>4</v>
      </c>
      <c r="F40">
        <v>1</v>
      </c>
      <c r="H40">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C7FBF-549F-492E-BB17-4EDCAFD03544}">
  <dimension ref="A2:A4"/>
  <sheetViews>
    <sheetView topLeftCell="B1" workbookViewId="0">
      <selection activeCell="E5" sqref="E5"/>
    </sheetView>
  </sheetViews>
  <sheetFormatPr defaultRowHeight="14.45"/>
  <cols>
    <col min="1" max="1" width="13.42578125" hidden="1" customWidth="1"/>
  </cols>
  <sheetData>
    <row r="2" spans="1:1">
      <c r="A2" t="s">
        <v>124</v>
      </c>
    </row>
    <row r="3" spans="1:1">
      <c r="A3" t="s">
        <v>123</v>
      </c>
    </row>
    <row r="4" spans="1:1">
      <c r="A4"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49E29-AEF5-40E1-BFE7-689B897E533B}">
  <sheetPr>
    <tabColor rgb="FF00B050"/>
  </sheetPr>
  <dimension ref="A1:T376"/>
  <sheetViews>
    <sheetView topLeftCell="F1" zoomScale="80" zoomScaleNormal="80" workbookViewId="0">
      <pane ySplit="1" topLeftCell="A53" activePane="bottomLeft" state="frozen"/>
      <selection pane="bottomLeft" activeCell="I325" sqref="I325"/>
    </sheetView>
  </sheetViews>
  <sheetFormatPr defaultColWidth="10.85546875" defaultRowHeight="15.95"/>
  <cols>
    <col min="1" max="2" width="19.28515625" style="19" customWidth="1"/>
    <col min="3" max="3" width="35.85546875" style="23" bestFit="1" customWidth="1"/>
    <col min="4" max="4" width="32.140625" style="36" customWidth="1"/>
    <col min="5" max="5" width="10.140625" style="17" customWidth="1"/>
    <col min="6" max="6" width="51.140625" style="18" customWidth="1"/>
    <col min="7" max="7" width="81.42578125" style="20" customWidth="1"/>
    <col min="8" max="8" width="76.7109375" style="20" customWidth="1"/>
    <col min="9" max="9" width="65.5703125" style="20" customWidth="1"/>
    <col min="10" max="10" width="34.42578125" style="20" hidden="1" customWidth="1"/>
    <col min="11" max="11" width="13.42578125" style="17" hidden="1" customWidth="1"/>
    <col min="12" max="12" width="11" style="17" hidden="1" customWidth="1"/>
    <col min="13" max="13" width="8.5703125" style="17" hidden="1" customWidth="1"/>
    <col min="14" max="14" width="12.5703125" style="17" hidden="1" customWidth="1"/>
    <col min="15" max="15" width="20.42578125" style="17" hidden="1" customWidth="1"/>
    <col min="16" max="16" width="17.85546875" style="36" hidden="1" customWidth="1"/>
    <col min="17" max="17" width="26.42578125" style="17" hidden="1" customWidth="1"/>
    <col min="18" max="18" width="12.5703125" style="17" hidden="1" customWidth="1"/>
    <col min="19" max="19" width="12.5703125" style="169" bestFit="1" customWidth="1"/>
    <col min="20" max="20" width="7.5703125" style="14" bestFit="1" customWidth="1"/>
    <col min="21" max="22" width="10.85546875" style="14" bestFit="1" customWidth="1"/>
    <col min="23" max="16382" width="10.85546875" style="14"/>
    <col min="16383" max="16384" width="10.85546875" style="14" bestFit="1" customWidth="1"/>
  </cols>
  <sheetData>
    <row r="1" spans="1:19">
      <c r="A1" s="38" t="s">
        <v>151</v>
      </c>
      <c r="B1" s="38" t="s">
        <v>152</v>
      </c>
      <c r="C1" s="37" t="s">
        <v>1</v>
      </c>
      <c r="D1" s="38" t="s">
        <v>2</v>
      </c>
      <c r="E1" s="37" t="s">
        <v>3</v>
      </c>
      <c r="F1" s="38" t="s">
        <v>4</v>
      </c>
      <c r="G1" s="38" t="s">
        <v>5</v>
      </c>
      <c r="H1" s="38" t="s">
        <v>6</v>
      </c>
      <c r="I1" s="107" t="s">
        <v>153</v>
      </c>
      <c r="J1" s="107" t="s">
        <v>144</v>
      </c>
      <c r="K1" s="37" t="s">
        <v>7</v>
      </c>
      <c r="L1" s="37" t="s">
        <v>8</v>
      </c>
      <c r="M1" s="37" t="s">
        <v>9</v>
      </c>
      <c r="N1" s="37" t="s">
        <v>10</v>
      </c>
      <c r="O1" s="37" t="s">
        <v>154</v>
      </c>
      <c r="P1" s="38" t="s">
        <v>11</v>
      </c>
      <c r="Q1" s="39" t="s">
        <v>155</v>
      </c>
      <c r="R1" s="39" t="s">
        <v>121</v>
      </c>
      <c r="S1" s="165" t="s">
        <v>10</v>
      </c>
    </row>
    <row r="2" spans="1:19" s="15" customFormat="1">
      <c r="A2" s="215" t="s">
        <v>156</v>
      </c>
      <c r="B2" s="216"/>
      <c r="C2" s="216"/>
      <c r="D2" s="216"/>
      <c r="E2" s="216"/>
      <c r="F2" s="216"/>
      <c r="G2" s="216"/>
      <c r="H2" s="216"/>
      <c r="I2" s="216"/>
      <c r="J2" s="216"/>
      <c r="K2" s="216"/>
      <c r="L2" s="216"/>
      <c r="M2" s="216"/>
      <c r="N2" s="216"/>
      <c r="O2" s="216"/>
      <c r="P2" s="216"/>
      <c r="Q2" s="216"/>
      <c r="R2" s="216"/>
      <c r="S2" s="214"/>
    </row>
    <row r="3" spans="1:19" ht="63.95">
      <c r="A3" s="213" t="s">
        <v>157</v>
      </c>
      <c r="B3" s="230">
        <v>2.1</v>
      </c>
      <c r="C3" s="230" t="s">
        <v>158</v>
      </c>
      <c r="D3" s="232" t="s">
        <v>159</v>
      </c>
      <c r="E3" s="22" t="s">
        <v>20</v>
      </c>
      <c r="F3" s="233" t="s">
        <v>160</v>
      </c>
      <c r="G3" s="26" t="s">
        <v>161</v>
      </c>
      <c r="H3" s="26" t="s">
        <v>162</v>
      </c>
      <c r="I3" s="265" t="s">
        <v>163</v>
      </c>
      <c r="J3" s="26"/>
      <c r="K3" s="22"/>
      <c r="M3" s="22"/>
      <c r="N3" s="22"/>
      <c r="O3" s="22"/>
      <c r="P3" s="35"/>
      <c r="Q3" s="14"/>
      <c r="R3" s="22"/>
      <c r="S3" s="22" t="s">
        <v>164</v>
      </c>
    </row>
    <row r="4" spans="1:19" ht="32.1">
      <c r="A4" s="213"/>
      <c r="B4" s="230"/>
      <c r="C4" s="230"/>
      <c r="D4" s="232"/>
      <c r="E4" s="22" t="s">
        <v>109</v>
      </c>
      <c r="F4" s="233"/>
      <c r="G4" s="25" t="s">
        <v>165</v>
      </c>
      <c r="H4" s="26" t="s">
        <v>166</v>
      </c>
      <c r="I4" s="266"/>
      <c r="J4" s="26"/>
      <c r="K4" s="22"/>
      <c r="L4" s="22"/>
      <c r="M4" s="22"/>
      <c r="N4" s="22"/>
      <c r="O4" s="22"/>
      <c r="P4" s="35"/>
      <c r="Q4" s="22"/>
      <c r="R4" s="22"/>
      <c r="S4" s="22" t="s">
        <v>164</v>
      </c>
    </row>
    <row r="5" spans="1:19" ht="32.1">
      <c r="A5" s="213"/>
      <c r="B5" s="230"/>
      <c r="C5" s="230"/>
      <c r="D5" s="232"/>
      <c r="E5" s="22" t="s">
        <v>167</v>
      </c>
      <c r="F5" s="233"/>
      <c r="G5" s="25" t="s">
        <v>168</v>
      </c>
      <c r="H5" s="26" t="s">
        <v>169</v>
      </c>
      <c r="I5" s="266"/>
      <c r="J5" s="26"/>
      <c r="K5" s="22"/>
      <c r="L5" s="22"/>
      <c r="M5" s="22"/>
      <c r="N5" s="22"/>
      <c r="O5" s="22"/>
      <c r="P5" s="35"/>
      <c r="Q5" s="22"/>
      <c r="R5" s="22"/>
      <c r="S5" s="22" t="s">
        <v>164</v>
      </c>
    </row>
    <row r="6" spans="1:19" ht="32.1">
      <c r="A6" s="213"/>
      <c r="B6" s="230"/>
      <c r="C6" s="230"/>
      <c r="D6" s="232"/>
      <c r="E6" s="22" t="s">
        <v>170</v>
      </c>
      <c r="F6" s="233"/>
      <c r="G6" s="25" t="s">
        <v>171</v>
      </c>
      <c r="H6" s="26" t="s">
        <v>172</v>
      </c>
      <c r="I6" s="266"/>
      <c r="J6" s="26"/>
      <c r="K6" s="22"/>
      <c r="L6" s="22"/>
      <c r="M6" s="22"/>
      <c r="N6" s="22"/>
      <c r="O6" s="22"/>
      <c r="P6" s="35"/>
      <c r="Q6" s="22"/>
      <c r="R6" s="22"/>
      <c r="S6" s="22" t="s">
        <v>164</v>
      </c>
    </row>
    <row r="7" spans="1:19">
      <c r="A7" s="213"/>
      <c r="B7" s="230"/>
      <c r="C7" s="230"/>
      <c r="D7" s="232"/>
      <c r="E7" s="22" t="s">
        <v>173</v>
      </c>
      <c r="F7" s="233"/>
      <c r="G7" s="25" t="s">
        <v>174</v>
      </c>
      <c r="H7" s="26" t="s">
        <v>175</v>
      </c>
      <c r="I7" s="266"/>
      <c r="J7" s="26"/>
      <c r="K7" s="22"/>
      <c r="L7" s="22"/>
      <c r="M7" s="22"/>
      <c r="N7" s="22"/>
      <c r="O7" s="22"/>
      <c r="P7" s="35"/>
      <c r="Q7" s="22"/>
      <c r="R7" s="22"/>
      <c r="S7" s="22" t="s">
        <v>164</v>
      </c>
    </row>
    <row r="8" spans="1:19" ht="32.1">
      <c r="A8" s="213"/>
      <c r="B8" s="230"/>
      <c r="C8" s="230"/>
      <c r="D8" s="232"/>
      <c r="E8" s="22" t="s">
        <v>176</v>
      </c>
      <c r="F8" s="233"/>
      <c r="G8" s="25" t="s">
        <v>177</v>
      </c>
      <c r="H8" s="14" t="s">
        <v>178</v>
      </c>
      <c r="I8" s="27" t="s">
        <v>179</v>
      </c>
      <c r="J8" s="14"/>
      <c r="K8" s="22"/>
      <c r="L8" s="22"/>
      <c r="M8" s="22"/>
      <c r="N8" s="22"/>
      <c r="O8" s="22"/>
      <c r="P8" s="35"/>
      <c r="Q8" s="22"/>
      <c r="R8" s="22"/>
      <c r="S8" s="22" t="s">
        <v>164</v>
      </c>
    </row>
    <row r="9" spans="1:19" ht="48">
      <c r="A9" s="21" t="s">
        <v>180</v>
      </c>
      <c r="B9" s="230"/>
      <c r="C9" s="230"/>
      <c r="D9" s="232"/>
      <c r="E9" s="22" t="s">
        <v>181</v>
      </c>
      <c r="F9" s="31" t="s">
        <v>182</v>
      </c>
      <c r="G9" s="30" t="s">
        <v>183</v>
      </c>
      <c r="H9" s="26" t="s">
        <v>184</v>
      </c>
      <c r="I9" s="94" t="s">
        <v>185</v>
      </c>
      <c r="J9" s="26"/>
      <c r="K9" s="22"/>
      <c r="L9" s="22"/>
      <c r="M9" s="22"/>
      <c r="N9" s="22"/>
      <c r="O9" s="22"/>
      <c r="P9" s="35"/>
      <c r="Q9" s="22"/>
      <c r="R9" s="22"/>
      <c r="S9" s="22" t="s">
        <v>164</v>
      </c>
    </row>
    <row r="10" spans="1:19" ht="63.95">
      <c r="A10" s="206" t="s">
        <v>186</v>
      </c>
      <c r="B10" s="230"/>
      <c r="C10" s="230"/>
      <c r="D10" s="232" t="s">
        <v>187</v>
      </c>
      <c r="E10" s="22" t="s">
        <v>188</v>
      </c>
      <c r="F10" s="233" t="s">
        <v>189</v>
      </c>
      <c r="G10" s="25" t="s">
        <v>190</v>
      </c>
      <c r="H10" s="26" t="s">
        <v>191</v>
      </c>
      <c r="I10" s="26" t="s">
        <v>192</v>
      </c>
      <c r="J10" s="26"/>
      <c r="K10" s="22"/>
      <c r="L10" s="22"/>
      <c r="M10" s="22"/>
      <c r="N10" s="22"/>
      <c r="O10" s="22"/>
      <c r="P10" s="35"/>
      <c r="Q10" s="22"/>
      <c r="R10" s="22"/>
      <c r="S10" s="22" t="s">
        <v>164</v>
      </c>
    </row>
    <row r="11" spans="1:19" ht="80.099999999999994">
      <c r="A11" s="208"/>
      <c r="B11" s="230"/>
      <c r="C11" s="230"/>
      <c r="D11" s="232"/>
      <c r="E11" s="22" t="s">
        <v>193</v>
      </c>
      <c r="F11" s="233"/>
      <c r="G11" s="25" t="s">
        <v>194</v>
      </c>
      <c r="H11" s="26" t="s">
        <v>195</v>
      </c>
      <c r="I11" s="26" t="s">
        <v>196</v>
      </c>
      <c r="J11" s="26"/>
      <c r="K11" s="22"/>
      <c r="L11" s="22"/>
      <c r="M11" s="22"/>
      <c r="N11" s="22"/>
      <c r="O11" s="22"/>
      <c r="P11" s="35"/>
      <c r="Q11" s="22"/>
      <c r="R11" s="22"/>
      <c r="S11" s="22" t="s">
        <v>164</v>
      </c>
    </row>
    <row r="12" spans="1:19" ht="128.1">
      <c r="A12" s="21" t="s">
        <v>197</v>
      </c>
      <c r="B12" s="230"/>
      <c r="C12" s="230"/>
      <c r="D12" s="35" t="s">
        <v>198</v>
      </c>
      <c r="E12" s="22" t="s">
        <v>199</v>
      </c>
      <c r="F12" s="31" t="s">
        <v>200</v>
      </c>
      <c r="G12" s="28" t="s">
        <v>201</v>
      </c>
      <c r="H12" s="28" t="s">
        <v>202</v>
      </c>
      <c r="I12" s="28" t="s">
        <v>203</v>
      </c>
      <c r="J12" s="28"/>
      <c r="K12" s="22"/>
      <c r="L12" s="22"/>
      <c r="M12" s="22"/>
      <c r="N12" s="22"/>
      <c r="O12" s="22"/>
      <c r="P12" s="35"/>
      <c r="Q12" s="22"/>
      <c r="R12" s="22"/>
      <c r="S12" s="22" t="s">
        <v>164</v>
      </c>
    </row>
    <row r="13" spans="1:19" ht="32.1">
      <c r="A13" s="21" t="s">
        <v>204</v>
      </c>
      <c r="B13" s="230"/>
      <c r="C13" s="230"/>
      <c r="D13" s="35" t="s">
        <v>187</v>
      </c>
      <c r="E13" s="22" t="s">
        <v>205</v>
      </c>
      <c r="F13" s="31" t="s">
        <v>206</v>
      </c>
      <c r="G13" s="28" t="s">
        <v>207</v>
      </c>
      <c r="H13" s="26" t="s">
        <v>208</v>
      </c>
      <c r="I13" s="26"/>
      <c r="J13" s="26"/>
      <c r="K13" s="22"/>
      <c r="L13" s="22"/>
      <c r="M13" s="22"/>
      <c r="N13" s="22"/>
      <c r="O13" s="22"/>
      <c r="P13" s="35"/>
      <c r="Q13" s="22"/>
      <c r="R13" s="22"/>
      <c r="S13" s="22" t="s">
        <v>209</v>
      </c>
    </row>
    <row r="14" spans="1:19" s="15" customFormat="1" ht="48">
      <c r="A14" s="21" t="s">
        <v>210</v>
      </c>
      <c r="B14" s="230"/>
      <c r="C14" s="230"/>
      <c r="D14" s="35" t="s">
        <v>211</v>
      </c>
      <c r="E14" s="22" t="s">
        <v>212</v>
      </c>
      <c r="F14" s="31" t="s">
        <v>213</v>
      </c>
      <c r="G14" s="28" t="s">
        <v>214</v>
      </c>
      <c r="H14" s="26" t="s">
        <v>215</v>
      </c>
      <c r="I14" s="26"/>
      <c r="J14" s="26"/>
      <c r="K14" s="22"/>
      <c r="L14" s="22"/>
      <c r="M14" s="22"/>
      <c r="N14" s="22"/>
      <c r="O14" s="22"/>
      <c r="P14" s="35"/>
      <c r="Q14" s="22"/>
      <c r="R14" s="22"/>
      <c r="S14" s="22" t="s">
        <v>209</v>
      </c>
    </row>
    <row r="15" spans="1:19">
      <c r="A15" s="215" t="s">
        <v>216</v>
      </c>
      <c r="B15" s="216"/>
      <c r="C15" s="216"/>
      <c r="D15" s="216"/>
      <c r="E15" s="263"/>
      <c r="F15" s="263"/>
      <c r="G15" s="216"/>
      <c r="H15" s="263"/>
      <c r="I15" s="263"/>
      <c r="J15" s="263"/>
      <c r="K15" s="263"/>
      <c r="L15" s="263"/>
      <c r="M15" s="263"/>
      <c r="N15" s="263"/>
      <c r="O15" s="264"/>
      <c r="P15" s="264"/>
      <c r="Q15" s="263"/>
      <c r="R15" s="263"/>
      <c r="S15" s="220"/>
    </row>
    <row r="16" spans="1:19" ht="32.1">
      <c r="A16" s="273" t="s">
        <v>217</v>
      </c>
      <c r="B16" s="98"/>
      <c r="C16" s="205" t="s">
        <v>218</v>
      </c>
      <c r="D16" s="275" t="s">
        <v>219</v>
      </c>
      <c r="E16" s="22" t="s">
        <v>20</v>
      </c>
      <c r="F16" s="214" t="s">
        <v>218</v>
      </c>
      <c r="G16" s="77" t="s">
        <v>220</v>
      </c>
      <c r="H16" s="78" t="s">
        <v>221</v>
      </c>
      <c r="I16" s="78"/>
      <c r="J16" s="78"/>
      <c r="K16" s="53"/>
      <c r="L16" s="53"/>
      <c r="M16" s="53"/>
      <c r="N16" s="53"/>
      <c r="O16" s="53"/>
      <c r="P16" s="53"/>
      <c r="Q16" s="53"/>
      <c r="R16" s="53"/>
      <c r="S16" s="22" t="s">
        <v>209</v>
      </c>
    </row>
    <row r="17" spans="1:19" ht="32.1">
      <c r="A17" s="274"/>
      <c r="B17" s="102"/>
      <c r="C17" s="205"/>
      <c r="D17" s="276"/>
      <c r="E17" s="22" t="s">
        <v>109</v>
      </c>
      <c r="F17" s="214"/>
      <c r="G17" s="77" t="s">
        <v>222</v>
      </c>
      <c r="H17" s="78" t="s">
        <v>223</v>
      </c>
      <c r="I17" s="78"/>
      <c r="J17" s="78"/>
      <c r="K17" s="53"/>
      <c r="L17" s="53"/>
      <c r="M17" s="53"/>
      <c r="N17" s="53"/>
      <c r="O17" s="53"/>
      <c r="P17" s="53"/>
      <c r="Q17" s="53"/>
      <c r="R17" s="53"/>
      <c r="S17" s="22" t="s">
        <v>209</v>
      </c>
    </row>
    <row r="18" spans="1:19">
      <c r="A18" s="215" t="s">
        <v>224</v>
      </c>
      <c r="B18" s="216"/>
      <c r="C18" s="216"/>
      <c r="D18" s="216"/>
      <c r="E18" s="268"/>
      <c r="F18" s="268"/>
      <c r="G18" s="216"/>
      <c r="H18" s="268"/>
      <c r="I18" s="268"/>
      <c r="J18" s="268"/>
      <c r="K18" s="268"/>
      <c r="L18" s="268"/>
      <c r="M18" s="268"/>
      <c r="N18" s="268"/>
      <c r="O18" s="268"/>
      <c r="P18" s="268"/>
      <c r="Q18" s="268"/>
      <c r="R18" s="268"/>
      <c r="S18" s="226"/>
    </row>
    <row r="19" spans="1:19">
      <c r="A19" s="213" t="s">
        <v>225</v>
      </c>
      <c r="B19" s="230">
        <v>4</v>
      </c>
      <c r="C19" s="230" t="s">
        <v>226</v>
      </c>
      <c r="D19" s="232" t="s">
        <v>227</v>
      </c>
      <c r="E19" s="22" t="s">
        <v>20</v>
      </c>
      <c r="F19" s="233" t="s">
        <v>228</v>
      </c>
      <c r="G19" s="25" t="s">
        <v>229</v>
      </c>
      <c r="H19" s="28"/>
      <c r="I19" s="28"/>
      <c r="J19" s="28"/>
      <c r="K19" s="22"/>
      <c r="L19" s="22"/>
      <c r="M19" s="22"/>
      <c r="N19" s="22"/>
      <c r="O19" s="22"/>
      <c r="P19" s="35"/>
      <c r="Q19" s="22"/>
      <c r="R19" s="22"/>
      <c r="S19" s="22" t="s">
        <v>209</v>
      </c>
    </row>
    <row r="20" spans="1:19" ht="111.95">
      <c r="A20" s="213"/>
      <c r="B20" s="230"/>
      <c r="C20" s="230"/>
      <c r="D20" s="232"/>
      <c r="E20" s="22" t="s">
        <v>109</v>
      </c>
      <c r="F20" s="233"/>
      <c r="G20" s="34" t="s">
        <v>230</v>
      </c>
      <c r="H20" s="28" t="s">
        <v>231</v>
      </c>
      <c r="I20" s="28" t="s">
        <v>232</v>
      </c>
      <c r="J20" s="28"/>
      <c r="K20" s="22"/>
      <c r="L20" s="22"/>
      <c r="M20" s="22"/>
      <c r="N20" s="22"/>
      <c r="O20" s="22"/>
      <c r="P20" s="150"/>
      <c r="Q20" s="22"/>
      <c r="R20" s="22"/>
      <c r="S20" s="22" t="s">
        <v>164</v>
      </c>
    </row>
    <row r="21" spans="1:19" ht="32.1">
      <c r="A21" s="213"/>
      <c r="B21" s="230"/>
      <c r="C21" s="230"/>
      <c r="D21" s="232"/>
      <c r="E21" s="22" t="s">
        <v>167</v>
      </c>
      <c r="F21" s="233"/>
      <c r="G21" s="25" t="s">
        <v>233</v>
      </c>
      <c r="H21" s="28" t="s">
        <v>234</v>
      </c>
      <c r="I21" s="28" t="s">
        <v>235</v>
      </c>
      <c r="J21" s="28"/>
      <c r="K21" s="22"/>
      <c r="L21" s="22"/>
      <c r="M21" s="22"/>
      <c r="N21" s="22"/>
      <c r="O21" s="22"/>
      <c r="P21" s="150"/>
      <c r="Q21" s="22"/>
      <c r="R21" s="22"/>
      <c r="S21" s="22" t="s">
        <v>164</v>
      </c>
    </row>
    <row r="22" spans="1:19">
      <c r="A22" s="213" t="s">
        <v>236</v>
      </c>
      <c r="B22" s="230"/>
      <c r="C22" s="230"/>
      <c r="D22" s="35" t="s">
        <v>187</v>
      </c>
      <c r="E22" s="22" t="s">
        <v>170</v>
      </c>
      <c r="F22" s="233" t="s">
        <v>237</v>
      </c>
      <c r="G22" s="25" t="s">
        <v>238</v>
      </c>
      <c r="H22" s="28" t="s">
        <v>239</v>
      </c>
      <c r="I22" s="28"/>
      <c r="J22" s="28"/>
      <c r="K22" s="22"/>
      <c r="L22" s="22"/>
      <c r="M22" s="22"/>
      <c r="N22" s="22"/>
      <c r="O22" s="22"/>
      <c r="P22" s="150"/>
      <c r="Q22" s="22"/>
      <c r="R22" s="43"/>
      <c r="S22" s="22" t="s">
        <v>164</v>
      </c>
    </row>
    <row r="23" spans="1:19" ht="32.1">
      <c r="A23" s="213"/>
      <c r="B23" s="230"/>
      <c r="C23" s="230"/>
      <c r="D23" s="35" t="s">
        <v>187</v>
      </c>
      <c r="E23" s="22" t="s">
        <v>173</v>
      </c>
      <c r="F23" s="233"/>
      <c r="G23" s="25" t="s">
        <v>240</v>
      </c>
      <c r="H23" s="28" t="s">
        <v>241</v>
      </c>
      <c r="I23" s="28"/>
      <c r="J23" s="28"/>
      <c r="K23" s="22"/>
      <c r="L23" s="22"/>
      <c r="M23" s="22"/>
      <c r="N23" s="22"/>
      <c r="O23" s="22"/>
      <c r="P23" s="35"/>
      <c r="Q23" s="22"/>
      <c r="R23" s="22"/>
      <c r="S23" s="22" t="s">
        <v>164</v>
      </c>
    </row>
    <row r="24" spans="1:19">
      <c r="A24" s="215" t="s">
        <v>242</v>
      </c>
      <c r="B24" s="216"/>
      <c r="C24" s="216"/>
      <c r="D24" s="216"/>
      <c r="E24" s="216"/>
      <c r="F24" s="216"/>
      <c r="G24" s="216"/>
      <c r="H24" s="216"/>
      <c r="I24" s="216"/>
      <c r="J24" s="216"/>
      <c r="K24" s="216"/>
      <c r="L24" s="216"/>
      <c r="M24" s="216"/>
      <c r="N24" s="216"/>
      <c r="O24" s="216"/>
      <c r="P24" s="216"/>
      <c r="Q24" s="216"/>
      <c r="R24" s="216"/>
      <c r="S24" s="214"/>
    </row>
    <row r="25" spans="1:19">
      <c r="A25" s="21"/>
      <c r="B25" s="151" t="s">
        <v>243</v>
      </c>
      <c r="C25" s="24" t="s">
        <v>244</v>
      </c>
      <c r="D25" s="35" t="s">
        <v>245</v>
      </c>
      <c r="E25" s="22" t="s">
        <v>20</v>
      </c>
      <c r="F25" s="31"/>
      <c r="G25" s="25" t="s">
        <v>246</v>
      </c>
      <c r="H25" s="26" t="s">
        <v>247</v>
      </c>
      <c r="I25" s="26"/>
      <c r="J25" s="26"/>
      <c r="K25" s="22"/>
      <c r="L25" s="22"/>
      <c r="M25" s="22"/>
      <c r="N25" s="22"/>
      <c r="O25" s="22"/>
      <c r="P25" s="35"/>
      <c r="Q25" s="22"/>
      <c r="R25" s="22"/>
      <c r="S25" s="22" t="s">
        <v>164</v>
      </c>
    </row>
    <row r="26" spans="1:19">
      <c r="A26" s="209" t="s">
        <v>248</v>
      </c>
      <c r="B26" s="210"/>
      <c r="C26" s="210"/>
      <c r="D26" s="210"/>
      <c r="E26" s="210"/>
      <c r="F26" s="210"/>
      <c r="G26" s="210"/>
      <c r="H26" s="210"/>
      <c r="I26" s="210"/>
      <c r="J26" s="210"/>
      <c r="K26" s="210"/>
      <c r="L26" s="210"/>
      <c r="M26" s="210"/>
      <c r="N26" s="210"/>
      <c r="O26" s="210"/>
      <c r="P26" s="210"/>
      <c r="Q26" s="210"/>
      <c r="R26" s="210"/>
      <c r="S26" s="214"/>
    </row>
    <row r="27" spans="1:19" ht="48">
      <c r="A27" s="213" t="s">
        <v>249</v>
      </c>
      <c r="B27" s="230" t="s">
        <v>243</v>
      </c>
      <c r="C27" s="230" t="s">
        <v>250</v>
      </c>
      <c r="D27" s="35" t="s">
        <v>245</v>
      </c>
      <c r="E27" s="22" t="s">
        <v>20</v>
      </c>
      <c r="F27" s="21" t="s">
        <v>251</v>
      </c>
      <c r="G27" s="25" t="s">
        <v>252</v>
      </c>
      <c r="H27" s="26" t="s">
        <v>253</v>
      </c>
      <c r="I27" s="26"/>
      <c r="J27" s="26"/>
      <c r="K27" s="22"/>
      <c r="L27" s="22"/>
      <c r="M27" s="22"/>
      <c r="N27" s="22"/>
      <c r="O27" s="22"/>
      <c r="P27" s="35"/>
      <c r="Q27" s="22"/>
      <c r="R27" s="22"/>
      <c r="S27" s="22" t="s">
        <v>164</v>
      </c>
    </row>
    <row r="28" spans="1:19" ht="48">
      <c r="A28" s="213"/>
      <c r="B28" s="230"/>
      <c r="C28" s="230"/>
      <c r="D28" s="35" t="s">
        <v>254</v>
      </c>
      <c r="E28" s="22" t="s">
        <v>20</v>
      </c>
      <c r="F28" s="21" t="s">
        <v>255</v>
      </c>
      <c r="G28" s="25" t="s">
        <v>256</v>
      </c>
      <c r="H28" s="26" t="s">
        <v>257</v>
      </c>
      <c r="I28" s="26"/>
      <c r="J28" s="26"/>
      <c r="K28" s="22"/>
      <c r="L28" s="22"/>
      <c r="M28" s="22"/>
      <c r="N28" s="22"/>
      <c r="O28" s="22"/>
      <c r="P28" s="35"/>
      <c r="Q28" s="22"/>
      <c r="R28" s="22"/>
      <c r="S28" s="22" t="s">
        <v>164</v>
      </c>
    </row>
    <row r="29" spans="1:19" ht="48">
      <c r="A29" s="213"/>
      <c r="B29" s="230"/>
      <c r="C29" s="230"/>
      <c r="D29" s="35" t="s">
        <v>258</v>
      </c>
      <c r="E29" s="22" t="s">
        <v>20</v>
      </c>
      <c r="F29" s="21" t="s">
        <v>259</v>
      </c>
      <c r="G29" s="25" t="s">
        <v>260</v>
      </c>
      <c r="H29" s="26" t="s">
        <v>261</v>
      </c>
      <c r="I29" s="26"/>
      <c r="J29" s="26"/>
      <c r="K29" s="22"/>
      <c r="L29" s="22"/>
      <c r="M29" s="22"/>
      <c r="N29" s="22"/>
      <c r="O29" s="22"/>
      <c r="P29" s="35"/>
      <c r="Q29" s="22"/>
      <c r="R29" s="22"/>
      <c r="S29" s="22" t="s">
        <v>164</v>
      </c>
    </row>
    <row r="30" spans="1:19" ht="48">
      <c r="A30" s="213"/>
      <c r="B30" s="230"/>
      <c r="C30" s="230"/>
      <c r="D30" s="35" t="s">
        <v>262</v>
      </c>
      <c r="E30" s="22" t="s">
        <v>20</v>
      </c>
      <c r="F30" s="21" t="s">
        <v>263</v>
      </c>
      <c r="G30" s="25" t="s">
        <v>264</v>
      </c>
      <c r="H30" s="26" t="s">
        <v>265</v>
      </c>
      <c r="I30" s="26"/>
      <c r="J30" s="26"/>
      <c r="K30" s="22"/>
      <c r="L30" s="22"/>
      <c r="M30" s="22"/>
      <c r="N30" s="22"/>
      <c r="O30" s="22"/>
      <c r="P30" s="35"/>
      <c r="Q30" s="22"/>
      <c r="R30" s="22"/>
      <c r="S30" s="22" t="s">
        <v>164</v>
      </c>
    </row>
    <row r="31" spans="1:19">
      <c r="A31" s="209" t="s">
        <v>266</v>
      </c>
      <c r="B31" s="210"/>
      <c r="C31" s="210"/>
      <c r="D31" s="210"/>
      <c r="E31" s="210"/>
      <c r="F31" s="210"/>
      <c r="G31" s="210"/>
      <c r="H31" s="210"/>
      <c r="I31" s="210"/>
      <c r="J31" s="210"/>
      <c r="K31" s="210"/>
      <c r="L31" s="210"/>
      <c r="M31" s="210"/>
      <c r="N31" s="210"/>
      <c r="O31" s="210"/>
      <c r="P31" s="210"/>
      <c r="Q31" s="210"/>
      <c r="R31" s="210"/>
      <c r="S31" s="214"/>
    </row>
    <row r="32" spans="1:19" ht="63.95">
      <c r="A32" s="206" t="s">
        <v>267</v>
      </c>
      <c r="B32" s="206" t="s">
        <v>243</v>
      </c>
      <c r="C32" s="231" t="s">
        <v>268</v>
      </c>
      <c r="D32" s="35" t="s">
        <v>269</v>
      </c>
      <c r="E32" s="22" t="s">
        <v>20</v>
      </c>
      <c r="F32" s="31" t="s">
        <v>270</v>
      </c>
      <c r="G32" s="25" t="str">
        <f>_xlfn.CONCAT(D32, " will approve the PR")</f>
        <v>SCM Head, Department Head &amp; CFO will approve the PR</v>
      </c>
      <c r="H32" s="26" t="str">
        <f>_xlfn.CONCAT("Confirm if ",D32," approved the PR")</f>
        <v>Confirm if SCM Head, Department Head &amp; CFO approved the PR</v>
      </c>
      <c r="I32" s="26"/>
      <c r="J32" s="26"/>
      <c r="K32" s="22"/>
      <c r="L32" s="22"/>
      <c r="M32" s="22"/>
      <c r="N32" s="22"/>
      <c r="O32" s="22"/>
      <c r="P32" s="35"/>
      <c r="Q32" s="22"/>
      <c r="R32" s="22"/>
      <c r="S32" s="22" t="s">
        <v>164</v>
      </c>
    </row>
    <row r="33" spans="1:19" ht="63.95">
      <c r="A33" s="207"/>
      <c r="B33" s="207"/>
      <c r="C33" s="250"/>
      <c r="D33" s="35" t="s">
        <v>269</v>
      </c>
      <c r="E33" s="22" t="s">
        <v>20</v>
      </c>
      <c r="F33" s="31" t="s">
        <v>271</v>
      </c>
      <c r="G33" s="25" t="str">
        <f t="shared" ref="G33:G43" si="0">_xlfn.CONCAT(D33, " will approve the PR")</f>
        <v>SCM Head, Department Head &amp; CFO will approve the PR</v>
      </c>
      <c r="H33" s="26" t="str">
        <f t="shared" ref="H33:H43" si="1">_xlfn.CONCAT("Confirm if ",D33," approved the PR")</f>
        <v>Confirm if SCM Head, Department Head &amp; CFO approved the PR</v>
      </c>
      <c r="I33" s="26"/>
      <c r="J33" s="26"/>
      <c r="K33" s="22"/>
      <c r="L33" s="22"/>
      <c r="M33" s="22"/>
      <c r="N33" s="22"/>
      <c r="O33" s="22"/>
      <c r="P33" s="35"/>
      <c r="Q33" s="22"/>
      <c r="R33" s="22"/>
      <c r="S33" s="22" t="s">
        <v>164</v>
      </c>
    </row>
    <row r="34" spans="1:19" ht="63.95">
      <c r="A34" s="207"/>
      <c r="B34" s="207"/>
      <c r="C34" s="250"/>
      <c r="D34" s="35" t="s">
        <v>272</v>
      </c>
      <c r="E34" s="22" t="s">
        <v>20</v>
      </c>
      <c r="F34" s="21" t="s">
        <v>273</v>
      </c>
      <c r="G34" s="25" t="str">
        <f t="shared" si="0"/>
        <v>SCM Head, Department Head, FPA &amp; CFO will approve the PR</v>
      </c>
      <c r="H34" s="26" t="str">
        <f t="shared" si="1"/>
        <v>Confirm if SCM Head, Department Head, FPA &amp; CFO approved the PR</v>
      </c>
      <c r="I34" s="26"/>
      <c r="J34" s="26"/>
      <c r="K34" s="22"/>
      <c r="L34" s="22"/>
      <c r="M34" s="22"/>
      <c r="N34" s="22"/>
      <c r="O34" s="22"/>
      <c r="P34" s="35"/>
      <c r="Q34" s="22"/>
      <c r="R34" s="22"/>
      <c r="S34" s="22" t="s">
        <v>164</v>
      </c>
    </row>
    <row r="35" spans="1:19" ht="63.95">
      <c r="A35" s="207"/>
      <c r="B35" s="207"/>
      <c r="C35" s="250"/>
      <c r="D35" s="35" t="s">
        <v>274</v>
      </c>
      <c r="E35" s="22" t="s">
        <v>20</v>
      </c>
      <c r="F35" s="21" t="s">
        <v>275</v>
      </c>
      <c r="G35" s="25" t="str">
        <f t="shared" si="0"/>
        <v>SCM Head, Department Head &amp; FPA will approve the PR</v>
      </c>
      <c r="H35" s="26" t="str">
        <f t="shared" si="1"/>
        <v>Confirm if SCM Head, Department Head &amp; FPA approved the PR</v>
      </c>
      <c r="I35" s="26"/>
      <c r="J35" s="26"/>
      <c r="K35" s="22"/>
      <c r="L35" s="22"/>
      <c r="M35" s="22"/>
      <c r="N35" s="22"/>
      <c r="O35" s="22"/>
      <c r="P35" s="35"/>
      <c r="Q35" s="22"/>
      <c r="R35" s="22"/>
      <c r="S35" s="22" t="s">
        <v>164</v>
      </c>
    </row>
    <row r="36" spans="1:19" ht="63.95">
      <c r="A36" s="207"/>
      <c r="B36" s="207"/>
      <c r="C36" s="250"/>
      <c r="D36" s="35" t="s">
        <v>276</v>
      </c>
      <c r="E36" s="22" t="s">
        <v>20</v>
      </c>
      <c r="F36" s="21" t="s">
        <v>277</v>
      </c>
      <c r="G36" s="25" t="str">
        <f t="shared" si="0"/>
        <v>SCM Head, Department Head &amp; Corporate Controller will approve the PR</v>
      </c>
      <c r="H36" s="26" t="str">
        <f t="shared" si="1"/>
        <v>Confirm if SCM Head, Department Head &amp; Corporate Controller approved the PR</v>
      </c>
      <c r="I36" s="26"/>
      <c r="J36" s="26"/>
      <c r="K36" s="22"/>
      <c r="L36" s="22"/>
      <c r="M36" s="22"/>
      <c r="N36" s="22"/>
      <c r="O36" s="22"/>
      <c r="P36" s="35"/>
      <c r="Q36" s="22"/>
      <c r="R36" s="22"/>
      <c r="S36" s="22" t="s">
        <v>164</v>
      </c>
    </row>
    <row r="37" spans="1:19" ht="63.95">
      <c r="A37" s="207"/>
      <c r="B37" s="207"/>
      <c r="C37" s="250"/>
      <c r="D37" s="35" t="s">
        <v>278</v>
      </c>
      <c r="E37" s="22" t="s">
        <v>20</v>
      </c>
      <c r="F37" s="21" t="s">
        <v>279</v>
      </c>
      <c r="G37" s="25" t="str">
        <f t="shared" si="0"/>
        <v>SCM Head, Department Head, Corporate Controller &amp; CFO will approve the PR</v>
      </c>
      <c r="H37" s="26" t="str">
        <f t="shared" si="1"/>
        <v>Confirm if SCM Head, Department Head, Corporate Controller &amp; CFO approved the PR</v>
      </c>
      <c r="I37" s="26"/>
      <c r="J37" s="26"/>
      <c r="K37" s="22"/>
      <c r="L37" s="22"/>
      <c r="M37" s="22"/>
      <c r="N37" s="22"/>
      <c r="O37" s="22"/>
      <c r="P37" s="35"/>
      <c r="Q37" s="22"/>
      <c r="R37" s="22"/>
      <c r="S37" s="22" t="s">
        <v>164</v>
      </c>
    </row>
    <row r="38" spans="1:19" ht="63.95">
      <c r="A38" s="207"/>
      <c r="B38" s="207"/>
      <c r="C38" s="250"/>
      <c r="D38" s="35" t="s">
        <v>280</v>
      </c>
      <c r="E38" s="22" t="s">
        <v>20</v>
      </c>
      <c r="F38" s="21" t="s">
        <v>281</v>
      </c>
      <c r="G38" s="25" t="str">
        <f t="shared" si="0"/>
        <v>SCM Head, DepartmentHead, COO &amp; CFO will approve the PR</v>
      </c>
      <c r="H38" s="26" t="str">
        <f t="shared" si="1"/>
        <v>Confirm if SCM Head, DepartmentHead, COO &amp; CFO approved the PR</v>
      </c>
      <c r="I38" s="26"/>
      <c r="J38" s="26"/>
      <c r="K38" s="22"/>
      <c r="L38" s="22"/>
      <c r="M38" s="22"/>
      <c r="N38" s="22"/>
      <c r="O38" s="22"/>
      <c r="P38" s="35"/>
      <c r="Q38" s="22"/>
      <c r="R38" s="22"/>
      <c r="S38" s="22" t="s">
        <v>164</v>
      </c>
    </row>
    <row r="39" spans="1:19" ht="63.95">
      <c r="A39" s="207"/>
      <c r="B39" s="207"/>
      <c r="C39" s="250"/>
      <c r="D39" s="35" t="s">
        <v>282</v>
      </c>
      <c r="E39" s="22" t="s">
        <v>20</v>
      </c>
      <c r="F39" s="21" t="s">
        <v>283</v>
      </c>
      <c r="G39" s="25" t="str">
        <f t="shared" si="0"/>
        <v>SCM Head, Department Head &amp; COO will approve the PR</v>
      </c>
      <c r="H39" s="26" t="str">
        <f t="shared" si="1"/>
        <v>Confirm if SCM Head, Department Head &amp; COO approved the PR</v>
      </c>
      <c r="I39" s="26"/>
      <c r="J39" s="26"/>
      <c r="K39" s="22"/>
      <c r="L39" s="22"/>
      <c r="M39" s="22"/>
      <c r="N39" s="22"/>
      <c r="O39" s="22"/>
      <c r="P39" s="35"/>
      <c r="Q39" s="22"/>
      <c r="R39" s="22"/>
      <c r="S39" s="22" t="s">
        <v>164</v>
      </c>
    </row>
    <row r="40" spans="1:19" ht="63.95">
      <c r="A40" s="207"/>
      <c r="B40" s="207"/>
      <c r="C40" s="250"/>
      <c r="D40" s="35" t="s">
        <v>284</v>
      </c>
      <c r="E40" s="22" t="s">
        <v>20</v>
      </c>
      <c r="F40" s="21" t="s">
        <v>285</v>
      </c>
      <c r="G40" s="25" t="str">
        <f t="shared" si="0"/>
        <v>SCM Head, Department Head, FPA, Corporate Controller &amp; CFO will approve the PR</v>
      </c>
      <c r="H40" s="26" t="str">
        <f t="shared" si="1"/>
        <v>Confirm if SCM Head, Department Head, FPA, Corporate Controller &amp; CFO approved the PR</v>
      </c>
      <c r="I40" s="26"/>
      <c r="J40" s="26"/>
      <c r="K40" s="22"/>
      <c r="L40" s="22"/>
      <c r="M40" s="22"/>
      <c r="N40" s="22"/>
      <c r="O40" s="22"/>
      <c r="P40" s="35"/>
      <c r="Q40" s="22"/>
      <c r="R40" s="22"/>
      <c r="S40" s="22" t="s">
        <v>164</v>
      </c>
    </row>
    <row r="41" spans="1:19" ht="63.95">
      <c r="A41" s="207"/>
      <c r="B41" s="207"/>
      <c r="C41" s="250"/>
      <c r="D41" s="35" t="s">
        <v>286</v>
      </c>
      <c r="E41" s="22" t="s">
        <v>20</v>
      </c>
      <c r="F41" s="31" t="s">
        <v>287</v>
      </c>
      <c r="G41" s="25" t="str">
        <f t="shared" si="0"/>
        <v>SCM Head, Department Head, FPA &amp; Corporate Controller will approve the PR</v>
      </c>
      <c r="H41" s="26" t="str">
        <f t="shared" si="1"/>
        <v>Confirm if SCM Head, Department Head, FPA &amp; Corporate Controller approved the PR</v>
      </c>
      <c r="I41" s="26"/>
      <c r="J41" s="26"/>
      <c r="K41" s="22"/>
      <c r="L41" s="22"/>
      <c r="M41" s="22"/>
      <c r="N41" s="22"/>
      <c r="O41" s="22"/>
      <c r="P41" s="35"/>
      <c r="Q41" s="22"/>
      <c r="R41" s="22"/>
      <c r="S41" s="22" t="s">
        <v>164</v>
      </c>
    </row>
    <row r="42" spans="1:19" ht="63.95">
      <c r="A42" s="207"/>
      <c r="B42" s="207"/>
      <c r="C42" s="250"/>
      <c r="D42" s="35" t="s">
        <v>288</v>
      </c>
      <c r="E42" s="22" t="s">
        <v>20</v>
      </c>
      <c r="F42" s="31" t="s">
        <v>289</v>
      </c>
      <c r="G42" s="25" t="str">
        <f t="shared" si="0"/>
        <v>SCM Head, Department Head, FPA, COO, &amp; CFO will approve the PR</v>
      </c>
      <c r="H42" s="26" t="str">
        <f t="shared" si="1"/>
        <v>Confirm if SCM Head, Department Head, FPA, COO, &amp; CFO approved the PR</v>
      </c>
      <c r="I42" s="26"/>
      <c r="J42" s="26"/>
      <c r="K42" s="22"/>
      <c r="L42" s="22"/>
      <c r="M42" s="22"/>
      <c r="N42" s="22"/>
      <c r="O42" s="22"/>
      <c r="P42" s="35"/>
      <c r="Q42" s="22"/>
      <c r="R42" s="22"/>
      <c r="S42" s="22" t="s">
        <v>164</v>
      </c>
    </row>
    <row r="43" spans="1:19" ht="63.95">
      <c r="A43" s="208"/>
      <c r="B43" s="208"/>
      <c r="C43" s="251"/>
      <c r="D43" s="35" t="s">
        <v>290</v>
      </c>
      <c r="E43" s="22" t="s">
        <v>20</v>
      </c>
      <c r="F43" s="21" t="s">
        <v>291</v>
      </c>
      <c r="G43" s="25" t="str">
        <f t="shared" si="0"/>
        <v>SCM Head, Department Head, FPA &amp; COO will approve the PR</v>
      </c>
      <c r="H43" s="26" t="str">
        <f t="shared" si="1"/>
        <v>Confirm if SCM Head, Department Head, FPA &amp; COO approved the PR</v>
      </c>
      <c r="I43" s="26"/>
      <c r="J43" s="26"/>
      <c r="K43" s="22"/>
      <c r="L43" s="22"/>
      <c r="M43" s="22"/>
      <c r="N43" s="22"/>
      <c r="O43" s="22"/>
      <c r="P43" s="35"/>
      <c r="Q43" s="22"/>
      <c r="R43" s="22"/>
      <c r="S43" s="22" t="s">
        <v>164</v>
      </c>
    </row>
    <row r="44" spans="1:19">
      <c r="A44" s="209" t="s">
        <v>292</v>
      </c>
      <c r="B44" s="219"/>
      <c r="C44" s="219"/>
      <c r="D44" s="219"/>
      <c r="E44" s="219"/>
      <c r="F44" s="219"/>
      <c r="G44" s="219"/>
      <c r="H44" s="219"/>
      <c r="I44" s="219"/>
      <c r="J44" s="219"/>
      <c r="K44" s="219"/>
      <c r="L44" s="219"/>
      <c r="M44" s="219"/>
      <c r="N44" s="219"/>
      <c r="O44" s="219"/>
      <c r="P44" s="219"/>
      <c r="Q44" s="219"/>
      <c r="R44" s="219"/>
      <c r="S44" s="220"/>
    </row>
    <row r="45" spans="1:19" ht="32.1">
      <c r="A45" s="206" t="s">
        <v>293</v>
      </c>
      <c r="B45" s="206"/>
      <c r="C45" s="234" t="s">
        <v>294</v>
      </c>
      <c r="D45" s="227" t="s">
        <v>295</v>
      </c>
      <c r="E45" s="22" t="s">
        <v>20</v>
      </c>
      <c r="F45" s="234" t="s">
        <v>294</v>
      </c>
      <c r="G45" s="25" t="s">
        <v>296</v>
      </c>
      <c r="H45" s="26" t="s">
        <v>297</v>
      </c>
      <c r="I45" s="26"/>
      <c r="J45" s="26"/>
      <c r="K45" s="22"/>
      <c r="L45" s="22"/>
      <c r="M45" s="22"/>
      <c r="N45" s="22"/>
      <c r="O45" s="22"/>
      <c r="P45" s="35"/>
      <c r="Q45" s="22"/>
      <c r="R45" s="22"/>
      <c r="S45" s="166" t="s">
        <v>164</v>
      </c>
    </row>
    <row r="46" spans="1:19">
      <c r="A46" s="207"/>
      <c r="B46" s="207"/>
      <c r="C46" s="242"/>
      <c r="D46" s="228"/>
      <c r="E46" s="22" t="s">
        <v>109</v>
      </c>
      <c r="F46" s="242"/>
      <c r="G46" s="25" t="s">
        <v>298</v>
      </c>
      <c r="H46" s="26" t="s">
        <v>299</v>
      </c>
      <c r="I46" s="26"/>
      <c r="J46" s="26"/>
      <c r="K46" s="22"/>
      <c r="L46" s="22"/>
      <c r="M46" s="22"/>
      <c r="N46" s="22"/>
      <c r="O46" s="22"/>
      <c r="P46" s="35"/>
      <c r="Q46" s="22"/>
      <c r="R46" s="22"/>
      <c r="S46" s="166" t="s">
        <v>164</v>
      </c>
    </row>
    <row r="47" spans="1:19">
      <c r="A47" s="207"/>
      <c r="B47" s="207"/>
      <c r="C47" s="242"/>
      <c r="D47" s="228"/>
      <c r="E47" s="51" t="s">
        <v>167</v>
      </c>
      <c r="F47" s="242"/>
      <c r="G47" s="79" t="s">
        <v>300</v>
      </c>
      <c r="H47" s="80" t="s">
        <v>301</v>
      </c>
      <c r="I47" s="80"/>
      <c r="J47" s="80"/>
      <c r="K47" s="51"/>
      <c r="L47" s="51"/>
      <c r="M47" s="51"/>
      <c r="N47" s="51"/>
      <c r="O47" s="51"/>
      <c r="P47" s="47"/>
      <c r="Q47" s="51"/>
      <c r="R47" s="51"/>
      <c r="S47" s="167" t="s">
        <v>164</v>
      </c>
    </row>
    <row r="48" spans="1:19" ht="32.1">
      <c r="A48" s="208"/>
      <c r="B48" s="208"/>
      <c r="C48" s="235"/>
      <c r="D48" s="248"/>
      <c r="E48" s="22" t="s">
        <v>170</v>
      </c>
      <c r="F48" s="243"/>
      <c r="G48" s="25" t="s">
        <v>302</v>
      </c>
      <c r="H48" s="26" t="s">
        <v>303</v>
      </c>
      <c r="I48" s="26"/>
      <c r="J48" s="26"/>
      <c r="K48" s="22"/>
      <c r="L48" s="22"/>
      <c r="M48" s="22"/>
      <c r="N48" s="22"/>
      <c r="O48" s="22"/>
      <c r="P48" s="35"/>
      <c r="Q48" s="22"/>
      <c r="R48" s="22"/>
      <c r="S48" s="166" t="s">
        <v>164</v>
      </c>
    </row>
    <row r="49" spans="1:19">
      <c r="A49" s="218" t="s">
        <v>304</v>
      </c>
      <c r="B49" s="244"/>
      <c r="C49" s="244"/>
      <c r="D49" s="244"/>
      <c r="E49" s="244"/>
      <c r="F49" s="244"/>
      <c r="G49" s="244"/>
      <c r="H49" s="244"/>
      <c r="I49" s="244"/>
      <c r="J49" s="244"/>
      <c r="K49" s="244"/>
      <c r="L49" s="244"/>
      <c r="M49" s="244"/>
      <c r="N49" s="244"/>
      <c r="O49" s="244"/>
      <c r="P49" s="244"/>
      <c r="Q49" s="244"/>
      <c r="R49" s="244"/>
      <c r="S49" s="245"/>
    </row>
    <row r="50" spans="1:19" ht="32.1">
      <c r="A50" s="213" t="s">
        <v>293</v>
      </c>
      <c r="B50" s="206" t="s">
        <v>243</v>
      </c>
      <c r="C50" s="249" t="s">
        <v>305</v>
      </c>
      <c r="D50" s="232" t="s">
        <v>227</v>
      </c>
      <c r="E50" s="95" t="s">
        <v>20</v>
      </c>
      <c r="F50" s="233" t="s">
        <v>305</v>
      </c>
      <c r="G50" s="89" t="s">
        <v>306</v>
      </c>
      <c r="H50" s="26" t="s">
        <v>307</v>
      </c>
      <c r="I50" s="26"/>
      <c r="J50" s="26"/>
      <c r="K50" s="22"/>
      <c r="L50" s="22"/>
      <c r="M50" s="22"/>
      <c r="N50" s="22"/>
      <c r="O50" s="22"/>
      <c r="P50" s="35"/>
      <c r="Q50" s="22"/>
      <c r="R50" s="22"/>
      <c r="S50" s="22" t="s">
        <v>164</v>
      </c>
    </row>
    <row r="51" spans="1:19" ht="32.1">
      <c r="A51" s="213"/>
      <c r="B51" s="208"/>
      <c r="C51" s="249"/>
      <c r="D51" s="232"/>
      <c r="E51" s="95" t="s">
        <v>109</v>
      </c>
      <c r="F51" s="233"/>
      <c r="G51" s="96" t="s">
        <v>308</v>
      </c>
      <c r="H51" s="80" t="s">
        <v>309</v>
      </c>
      <c r="I51" s="80"/>
      <c r="J51" s="80"/>
      <c r="K51" s="22"/>
      <c r="L51" s="22"/>
      <c r="M51" s="22"/>
      <c r="N51" s="22"/>
      <c r="O51" s="22"/>
      <c r="P51" s="35"/>
      <c r="Q51" s="22"/>
      <c r="R51" s="22"/>
      <c r="S51" s="51" t="s">
        <v>164</v>
      </c>
    </row>
    <row r="52" spans="1:19">
      <c r="A52" s="224" t="s">
        <v>310</v>
      </c>
      <c r="B52" s="244"/>
      <c r="C52" s="244"/>
      <c r="D52" s="246"/>
      <c r="E52" s="244"/>
      <c r="F52" s="246"/>
      <c r="G52" s="247"/>
      <c r="H52" s="247"/>
      <c r="I52" s="244"/>
      <c r="J52" s="244"/>
      <c r="K52" s="244"/>
      <c r="L52" s="244"/>
      <c r="M52" s="244"/>
      <c r="N52" s="244"/>
      <c r="O52" s="244"/>
      <c r="P52" s="244"/>
      <c r="Q52" s="244"/>
      <c r="R52" s="244"/>
      <c r="S52" s="205"/>
    </row>
    <row r="53" spans="1:19" ht="32.1">
      <c r="A53" s="206" t="s">
        <v>311</v>
      </c>
      <c r="B53" s="206">
        <v>4</v>
      </c>
      <c r="C53" s="234" t="s">
        <v>312</v>
      </c>
      <c r="D53" s="227" t="s">
        <v>313</v>
      </c>
      <c r="E53" s="22" t="s">
        <v>20</v>
      </c>
      <c r="F53" s="234" t="s">
        <v>312</v>
      </c>
      <c r="G53" s="178" t="s">
        <v>314</v>
      </c>
      <c r="H53" s="179" t="s">
        <v>315</v>
      </c>
      <c r="I53" s="94"/>
      <c r="J53" s="94"/>
      <c r="K53" s="22"/>
      <c r="L53" s="22"/>
      <c r="M53" s="22"/>
      <c r="N53" s="22"/>
      <c r="O53" s="22"/>
      <c r="P53" s="35"/>
      <c r="Q53" s="22"/>
      <c r="R53" s="22"/>
      <c r="S53" s="168" t="s">
        <v>209</v>
      </c>
    </row>
    <row r="54" spans="1:19" ht="32.1">
      <c r="A54" s="207"/>
      <c r="B54" s="207"/>
      <c r="C54" s="242"/>
      <c r="D54" s="228"/>
      <c r="E54" s="22" t="s">
        <v>109</v>
      </c>
      <c r="F54" s="242"/>
      <c r="G54" s="180" t="s">
        <v>316</v>
      </c>
      <c r="H54" s="181" t="s">
        <v>315</v>
      </c>
      <c r="I54" s="26"/>
      <c r="J54" s="26"/>
      <c r="K54" s="22"/>
      <c r="L54" s="22"/>
      <c r="M54" s="22"/>
      <c r="N54" s="22"/>
      <c r="O54" s="22"/>
      <c r="P54" s="35"/>
      <c r="Q54" s="22"/>
      <c r="R54" s="22"/>
      <c r="S54" s="166" t="s">
        <v>164</v>
      </c>
    </row>
    <row r="55" spans="1:19" ht="48">
      <c r="A55" s="207"/>
      <c r="B55" s="207"/>
      <c r="C55" s="242"/>
      <c r="D55" s="228"/>
      <c r="E55" s="22" t="s">
        <v>167</v>
      </c>
      <c r="F55" s="242"/>
      <c r="G55" s="180" t="s">
        <v>317</v>
      </c>
      <c r="H55" s="181" t="s">
        <v>318</v>
      </c>
      <c r="I55" s="26"/>
      <c r="J55" s="26"/>
      <c r="K55" s="22"/>
      <c r="L55" s="22"/>
      <c r="M55" s="22"/>
      <c r="N55" s="22"/>
      <c r="O55" s="22"/>
      <c r="P55" s="35"/>
      <c r="Q55" s="22"/>
      <c r="R55" s="22"/>
      <c r="S55" s="166" t="s">
        <v>164</v>
      </c>
    </row>
    <row r="56" spans="1:19" ht="32.1">
      <c r="A56" s="208"/>
      <c r="B56" s="208"/>
      <c r="C56" s="235"/>
      <c r="D56" s="229"/>
      <c r="E56" s="22" t="s">
        <v>170</v>
      </c>
      <c r="F56" s="235"/>
      <c r="G56" s="180" t="s">
        <v>319</v>
      </c>
      <c r="H56" s="181" t="s">
        <v>315</v>
      </c>
      <c r="I56" s="26"/>
      <c r="J56" s="26"/>
      <c r="K56" s="22"/>
      <c r="L56" s="22"/>
      <c r="M56" s="22"/>
      <c r="N56" s="22"/>
      <c r="O56" s="22"/>
      <c r="P56" s="35"/>
      <c r="Q56" s="22"/>
      <c r="R56" s="22"/>
      <c r="S56" s="166" t="s">
        <v>164</v>
      </c>
    </row>
    <row r="57" spans="1:19">
      <c r="A57" s="215" t="s">
        <v>320</v>
      </c>
      <c r="B57" s="216"/>
      <c r="C57" s="216"/>
      <c r="D57" s="216"/>
      <c r="E57" s="216"/>
      <c r="F57" s="216"/>
      <c r="G57" s="216"/>
      <c r="H57" s="216"/>
      <c r="I57" s="216"/>
      <c r="J57" s="216"/>
      <c r="K57" s="216"/>
      <c r="L57" s="216"/>
      <c r="M57" s="216"/>
      <c r="N57" s="216"/>
      <c r="O57" s="216"/>
      <c r="P57" s="216"/>
      <c r="Q57" s="216"/>
      <c r="R57" s="216"/>
      <c r="S57" s="217"/>
    </row>
    <row r="58" spans="1:19">
      <c r="A58" s="21" t="s">
        <v>321</v>
      </c>
      <c r="B58" s="21"/>
      <c r="C58" s="24" t="s">
        <v>322</v>
      </c>
      <c r="D58" s="35"/>
      <c r="E58" s="22" t="s">
        <v>20</v>
      </c>
      <c r="F58" s="31"/>
      <c r="G58" s="25" t="s">
        <v>323</v>
      </c>
      <c r="H58" s="26" t="s">
        <v>324</v>
      </c>
      <c r="I58" s="26"/>
      <c r="J58" s="26"/>
      <c r="K58" s="22"/>
      <c r="L58" s="22"/>
      <c r="M58" s="22"/>
      <c r="N58" s="22"/>
      <c r="O58" s="22"/>
      <c r="P58" s="35"/>
      <c r="Q58" s="22"/>
      <c r="R58" s="22"/>
      <c r="S58" s="166" t="s">
        <v>209</v>
      </c>
    </row>
    <row r="59" spans="1:19" s="61" customFormat="1">
      <c r="A59" s="218" t="s">
        <v>325</v>
      </c>
      <c r="B59" s="219"/>
      <c r="C59" s="219"/>
      <c r="D59" s="219"/>
      <c r="E59" s="219"/>
      <c r="F59" s="219"/>
      <c r="G59" s="219"/>
      <c r="H59" s="219"/>
      <c r="I59" s="219"/>
      <c r="J59" s="219"/>
      <c r="K59" s="219"/>
      <c r="L59" s="219"/>
      <c r="M59" s="219"/>
      <c r="N59" s="219"/>
      <c r="O59" s="219"/>
      <c r="P59" s="219"/>
      <c r="Q59" s="219"/>
      <c r="R59" s="219"/>
      <c r="S59" s="220"/>
    </row>
    <row r="60" spans="1:19" ht="32.25" customHeight="1">
      <c r="A60" s="205" t="s">
        <v>326</v>
      </c>
      <c r="B60" s="205"/>
      <c r="C60" s="205" t="s">
        <v>327</v>
      </c>
      <c r="D60" s="147" t="s">
        <v>328</v>
      </c>
      <c r="E60" s="22" t="s">
        <v>20</v>
      </c>
      <c r="F60" s="152" t="s">
        <v>329</v>
      </c>
      <c r="G60" s="30" t="s">
        <v>330</v>
      </c>
      <c r="H60" s="53"/>
      <c r="I60" s="53"/>
      <c r="J60" s="53"/>
      <c r="K60" s="53"/>
      <c r="L60" s="53"/>
      <c r="M60" s="53"/>
      <c r="N60" s="53"/>
      <c r="O60" s="53"/>
      <c r="P60" s="53"/>
      <c r="Q60" s="53"/>
      <c r="R60" s="53"/>
      <c r="S60" s="166" t="s">
        <v>209</v>
      </c>
    </row>
    <row r="61" spans="1:19" ht="32.25" customHeight="1">
      <c r="A61" s="205"/>
      <c r="B61" s="205"/>
      <c r="C61" s="205"/>
      <c r="D61" s="170" t="s">
        <v>331</v>
      </c>
      <c r="E61" s="22" t="s">
        <v>109</v>
      </c>
      <c r="F61" s="152" t="s">
        <v>332</v>
      </c>
      <c r="G61" s="30" t="s">
        <v>333</v>
      </c>
      <c r="H61" s="53"/>
      <c r="I61" s="53"/>
      <c r="J61" s="53"/>
      <c r="K61" s="53"/>
      <c r="L61" s="53"/>
      <c r="M61" s="53"/>
      <c r="N61" s="53"/>
      <c r="O61" s="53"/>
      <c r="P61" s="53"/>
      <c r="Q61" s="53"/>
      <c r="R61" s="53"/>
      <c r="S61" s="166" t="s">
        <v>209</v>
      </c>
    </row>
    <row r="62" spans="1:19" ht="32.25" customHeight="1">
      <c r="A62" s="205"/>
      <c r="B62" s="205"/>
      <c r="C62" s="205"/>
      <c r="D62" s="170" t="s">
        <v>334</v>
      </c>
      <c r="E62" s="22" t="s">
        <v>167</v>
      </c>
      <c r="F62" s="152" t="s">
        <v>335</v>
      </c>
      <c r="G62" s="30" t="s">
        <v>336</v>
      </c>
      <c r="H62" s="53"/>
      <c r="I62" s="53"/>
      <c r="J62" s="53"/>
      <c r="K62" s="53"/>
      <c r="L62" s="53"/>
      <c r="M62" s="53"/>
      <c r="N62" s="53"/>
      <c r="O62" s="53"/>
      <c r="P62" s="53"/>
      <c r="Q62" s="53"/>
      <c r="R62" s="53"/>
      <c r="S62" s="166" t="s">
        <v>209</v>
      </c>
    </row>
    <row r="63" spans="1:19" s="61" customFormat="1">
      <c r="A63" s="224" t="s">
        <v>337</v>
      </c>
      <c r="B63" s="225"/>
      <c r="C63" s="225"/>
      <c r="D63" s="225"/>
      <c r="E63" s="225"/>
      <c r="F63" s="225"/>
      <c r="G63" s="225"/>
      <c r="H63" s="225"/>
      <c r="I63" s="225"/>
      <c r="J63" s="225"/>
      <c r="K63" s="225"/>
      <c r="L63" s="225"/>
      <c r="M63" s="225"/>
      <c r="N63" s="225"/>
      <c r="O63" s="225"/>
      <c r="P63" s="225"/>
      <c r="Q63" s="225"/>
      <c r="R63" s="225"/>
      <c r="S63" s="226"/>
    </row>
    <row r="64" spans="1:19" ht="96">
      <c r="A64" s="213" t="s">
        <v>338</v>
      </c>
      <c r="B64" s="206"/>
      <c r="C64" s="221" t="s">
        <v>339</v>
      </c>
      <c r="D64" s="147" t="s">
        <v>340</v>
      </c>
      <c r="E64" s="22" t="s">
        <v>20</v>
      </c>
      <c r="F64" s="29" t="s">
        <v>341</v>
      </c>
      <c r="G64" s="30" t="s">
        <v>342</v>
      </c>
      <c r="H64" s="26" t="str">
        <f t="shared" ref="H64:H67" si="2">_xlfn.CONCAT("Confirm if the ",D64," ", "has approved the PR and the approver name captured in Approver fields")</f>
        <v>Confirm if the Director / Senior Director has approved the PR and the approver name captured in Approver fields</v>
      </c>
      <c r="I64" s="26"/>
      <c r="J64" s="26"/>
      <c r="K64" s="22"/>
      <c r="L64" s="22"/>
      <c r="M64" s="22"/>
      <c r="N64" s="22"/>
      <c r="O64" s="22"/>
      <c r="P64" s="35"/>
      <c r="Q64" s="22"/>
      <c r="R64" s="22"/>
      <c r="S64" s="166" t="s">
        <v>209</v>
      </c>
    </row>
    <row r="65" spans="1:19" ht="32.1">
      <c r="A65" s="213"/>
      <c r="B65" s="207"/>
      <c r="C65" s="222"/>
      <c r="D65" s="147" t="s">
        <v>328</v>
      </c>
      <c r="E65" s="22" t="s">
        <v>109</v>
      </c>
      <c r="F65" s="29" t="s">
        <v>343</v>
      </c>
      <c r="G65" s="30" t="s">
        <v>330</v>
      </c>
      <c r="H65" s="26" t="str">
        <f t="shared" si="2"/>
        <v>Confirm if the SVP - Managed Services &amp; Customer Support has approved the PR and the approver name captured in Approver fields</v>
      </c>
      <c r="I65" s="26"/>
      <c r="J65" s="26"/>
      <c r="K65" s="22"/>
      <c r="L65" s="22"/>
      <c r="M65" s="22"/>
      <c r="N65" s="22"/>
      <c r="O65" s="22"/>
      <c r="P65" s="35"/>
      <c r="Q65" s="22"/>
      <c r="R65" s="22"/>
      <c r="S65" s="166" t="s">
        <v>209</v>
      </c>
    </row>
    <row r="66" spans="1:19" ht="32.1">
      <c r="A66" s="213"/>
      <c r="B66" s="207"/>
      <c r="C66" s="222"/>
      <c r="D66" s="147" t="s">
        <v>331</v>
      </c>
      <c r="E66" s="22" t="s">
        <v>167</v>
      </c>
      <c r="F66" s="29" t="s">
        <v>332</v>
      </c>
      <c r="G66" s="30" t="s">
        <v>333</v>
      </c>
      <c r="H66" s="26" t="str">
        <f t="shared" si="2"/>
        <v>Confirm if the COO &amp;  CFO has approved the PR and the approver name captured in Approver fields</v>
      </c>
      <c r="I66" s="26"/>
      <c r="J66" s="26"/>
      <c r="K66" s="22"/>
      <c r="L66" s="22"/>
      <c r="M66" s="22"/>
      <c r="N66" s="22"/>
      <c r="O66" s="22"/>
      <c r="P66" s="35"/>
      <c r="Q66" s="22"/>
      <c r="R66" s="22"/>
      <c r="S66" s="166" t="s">
        <v>209</v>
      </c>
    </row>
    <row r="67" spans="1:19" ht="32.1">
      <c r="A67" s="213"/>
      <c r="B67" s="208"/>
      <c r="C67" s="223"/>
      <c r="D67" s="147" t="s">
        <v>334</v>
      </c>
      <c r="E67" s="22" t="s">
        <v>170</v>
      </c>
      <c r="F67" s="29" t="s">
        <v>335</v>
      </c>
      <c r="G67" s="30" t="s">
        <v>336</v>
      </c>
      <c r="H67" s="26" t="str">
        <f t="shared" si="2"/>
        <v>Confirm if the CEO has approved the PR and the approver name captured in Approver fields</v>
      </c>
      <c r="I67" s="26"/>
      <c r="J67" s="26"/>
      <c r="K67" s="22"/>
      <c r="L67" s="22"/>
      <c r="M67" s="22"/>
      <c r="N67" s="22"/>
      <c r="O67" s="22"/>
      <c r="P67" s="35"/>
      <c r="Q67" s="22"/>
      <c r="R67" s="22"/>
      <c r="S67" s="166" t="s">
        <v>209</v>
      </c>
    </row>
    <row r="68" spans="1:19">
      <c r="A68" s="209" t="s">
        <v>344</v>
      </c>
      <c r="B68" s="210"/>
      <c r="C68" s="210"/>
      <c r="D68" s="210"/>
      <c r="E68" s="210"/>
      <c r="F68" s="210"/>
      <c r="G68" s="210"/>
      <c r="H68" s="210"/>
      <c r="I68" s="210"/>
      <c r="J68" s="210"/>
      <c r="K68" s="210"/>
      <c r="L68" s="210"/>
      <c r="M68" s="210"/>
      <c r="N68" s="210"/>
      <c r="O68" s="210"/>
      <c r="P68" s="210"/>
      <c r="Q68" s="210"/>
      <c r="R68" s="210"/>
      <c r="S68" s="214"/>
    </row>
    <row r="69" spans="1:19" ht="32.1">
      <c r="A69" s="213" t="s">
        <v>345</v>
      </c>
      <c r="B69" s="206"/>
      <c r="C69" s="212" t="s">
        <v>346</v>
      </c>
      <c r="D69" s="147" t="s">
        <v>347</v>
      </c>
      <c r="E69" s="22" t="s">
        <v>20</v>
      </c>
      <c r="F69" s="48" t="s">
        <v>329</v>
      </c>
      <c r="G69" s="30" t="s">
        <v>348</v>
      </c>
      <c r="H69" s="26" t="str">
        <f t="shared" ref="H69:H71" si="3">_xlfn.CONCAT("Confirm if the ",D69," ", "has approved the PR and the approver name captured in Approver fields")</f>
        <v>Confirm if the Senior Vice President &amp; Global Head of Delivery has approved the PR and the approver name captured in Approver fields</v>
      </c>
      <c r="I69" s="26"/>
      <c r="J69" s="26"/>
      <c r="K69" s="22"/>
      <c r="L69" s="22"/>
      <c r="M69" s="22"/>
      <c r="N69" s="22"/>
      <c r="O69" s="22"/>
      <c r="P69" s="35"/>
      <c r="Q69" s="22"/>
      <c r="R69" s="22"/>
      <c r="S69" s="166" t="s">
        <v>209</v>
      </c>
    </row>
    <row r="70" spans="1:19" ht="32.1">
      <c r="A70" s="213"/>
      <c r="B70" s="207"/>
      <c r="C70" s="212"/>
      <c r="D70" s="147" t="s">
        <v>331</v>
      </c>
      <c r="E70" s="22" t="s">
        <v>109</v>
      </c>
      <c r="F70" s="48" t="s">
        <v>332</v>
      </c>
      <c r="G70" s="30" t="s">
        <v>333</v>
      </c>
      <c r="H70" s="26" t="str">
        <f t="shared" si="3"/>
        <v>Confirm if the COO &amp;  CFO has approved the PR and the approver name captured in Approver fields</v>
      </c>
      <c r="I70" s="26"/>
      <c r="J70" s="26"/>
      <c r="K70" s="22"/>
      <c r="L70" s="22"/>
      <c r="M70" s="22"/>
      <c r="N70" s="22"/>
      <c r="O70" s="22"/>
      <c r="P70" s="35"/>
      <c r="Q70" s="22"/>
      <c r="R70" s="22"/>
      <c r="S70" s="166" t="s">
        <v>209</v>
      </c>
    </row>
    <row r="71" spans="1:19" ht="32.1">
      <c r="A71" s="213"/>
      <c r="B71" s="208"/>
      <c r="C71" s="212"/>
      <c r="D71" s="147" t="s">
        <v>334</v>
      </c>
      <c r="E71" s="22" t="s">
        <v>167</v>
      </c>
      <c r="F71" s="48" t="s">
        <v>335</v>
      </c>
      <c r="G71" s="30" t="s">
        <v>336</v>
      </c>
      <c r="H71" s="26" t="str">
        <f t="shared" si="3"/>
        <v>Confirm if the CEO has approved the PR and the approver name captured in Approver fields</v>
      </c>
      <c r="I71" s="26"/>
      <c r="J71" s="26"/>
      <c r="K71" s="22"/>
      <c r="L71" s="22"/>
      <c r="M71" s="22"/>
      <c r="N71" s="22"/>
      <c r="O71" s="22"/>
      <c r="P71" s="35"/>
      <c r="Q71" s="22"/>
      <c r="R71" s="22"/>
      <c r="S71" s="166" t="s">
        <v>209</v>
      </c>
    </row>
    <row r="72" spans="1:19">
      <c r="A72" s="209" t="s">
        <v>349</v>
      </c>
      <c r="B72" s="210"/>
      <c r="C72" s="210"/>
      <c r="D72" s="210"/>
      <c r="E72" s="210"/>
      <c r="F72" s="210"/>
      <c r="G72" s="210"/>
      <c r="H72" s="210"/>
      <c r="I72" s="210"/>
      <c r="J72" s="210"/>
      <c r="K72" s="210"/>
      <c r="L72" s="210"/>
      <c r="M72" s="210"/>
      <c r="N72" s="210"/>
      <c r="O72" s="210"/>
      <c r="P72" s="210"/>
      <c r="Q72" s="210"/>
      <c r="R72" s="210"/>
      <c r="S72" s="214"/>
    </row>
    <row r="73" spans="1:19" ht="32.1">
      <c r="A73" s="213" t="s">
        <v>350</v>
      </c>
      <c r="B73" s="207"/>
      <c r="C73" s="212" t="s">
        <v>351</v>
      </c>
      <c r="D73" s="147" t="s">
        <v>352</v>
      </c>
      <c r="E73" s="22" t="s">
        <v>20</v>
      </c>
      <c r="F73" s="29" t="s">
        <v>329</v>
      </c>
      <c r="G73" s="30" t="s">
        <v>353</v>
      </c>
      <c r="H73" s="26" t="str">
        <f t="shared" ref="H73:H75" si="4">_xlfn.CONCAT("Confirm if the ",D73," ", "has approved the PR and the approver name captured in Approver fields")</f>
        <v>Confirm if the General Counsel has approved the PR and the approver name captured in Approver fields</v>
      </c>
      <c r="I73" s="26"/>
      <c r="J73" s="26"/>
      <c r="K73" s="22"/>
      <c r="L73" s="22"/>
      <c r="M73" s="22"/>
      <c r="N73" s="22"/>
      <c r="O73" s="22"/>
      <c r="P73" s="35"/>
      <c r="Q73" s="22"/>
      <c r="R73" s="22"/>
      <c r="S73" s="166" t="s">
        <v>209</v>
      </c>
    </row>
    <row r="74" spans="1:19" ht="32.1">
      <c r="A74" s="213"/>
      <c r="B74" s="207"/>
      <c r="C74" s="212"/>
      <c r="D74" s="147" t="s">
        <v>331</v>
      </c>
      <c r="E74" s="22" t="s">
        <v>109</v>
      </c>
      <c r="F74" s="29" t="s">
        <v>332</v>
      </c>
      <c r="G74" s="30" t="s">
        <v>333</v>
      </c>
      <c r="H74" s="26" t="str">
        <f t="shared" si="4"/>
        <v>Confirm if the COO &amp;  CFO has approved the PR and the approver name captured in Approver fields</v>
      </c>
      <c r="I74" s="26"/>
      <c r="J74" s="26"/>
      <c r="K74" s="22"/>
      <c r="L74" s="22"/>
      <c r="M74" s="22"/>
      <c r="N74" s="22"/>
      <c r="O74" s="22"/>
      <c r="P74" s="35"/>
      <c r="Q74" s="22"/>
      <c r="R74" s="22"/>
      <c r="S74" s="166" t="s">
        <v>209</v>
      </c>
    </row>
    <row r="75" spans="1:19" ht="32.1">
      <c r="A75" s="213"/>
      <c r="B75" s="208"/>
      <c r="C75" s="212"/>
      <c r="D75" s="147" t="s">
        <v>334</v>
      </c>
      <c r="E75" s="22" t="s">
        <v>167</v>
      </c>
      <c r="F75" s="29" t="s">
        <v>335</v>
      </c>
      <c r="G75" s="30" t="s">
        <v>336</v>
      </c>
      <c r="H75" s="26" t="str">
        <f t="shared" si="4"/>
        <v>Confirm if the CEO has approved the PR and the approver name captured in Approver fields</v>
      </c>
      <c r="I75" s="26"/>
      <c r="J75" s="26"/>
      <c r="K75" s="22"/>
      <c r="L75" s="22"/>
      <c r="M75" s="22"/>
      <c r="N75" s="22"/>
      <c r="O75" s="22"/>
      <c r="P75" s="35"/>
      <c r="Q75" s="22"/>
      <c r="R75" s="22"/>
      <c r="S75" s="166" t="s">
        <v>209</v>
      </c>
    </row>
    <row r="76" spans="1:19">
      <c r="A76" s="209" t="s">
        <v>354</v>
      </c>
      <c r="B76" s="210"/>
      <c r="C76" s="210"/>
      <c r="D76" s="210"/>
      <c r="E76" s="210"/>
      <c r="F76" s="210"/>
      <c r="G76" s="210"/>
      <c r="H76" s="210"/>
      <c r="I76" s="210"/>
      <c r="J76" s="210"/>
      <c r="K76" s="210"/>
      <c r="L76" s="210"/>
      <c r="M76" s="210"/>
      <c r="N76" s="210"/>
      <c r="O76" s="210"/>
      <c r="P76" s="210"/>
      <c r="Q76" s="210"/>
      <c r="R76" s="210"/>
      <c r="S76" s="214"/>
    </row>
    <row r="77" spans="1:19" ht="32.1">
      <c r="A77" s="213" t="s">
        <v>355</v>
      </c>
      <c r="B77" s="206"/>
      <c r="C77" s="212" t="s">
        <v>356</v>
      </c>
      <c r="D77" s="170" t="s">
        <v>340</v>
      </c>
      <c r="E77" s="22" t="s">
        <v>20</v>
      </c>
      <c r="F77" s="48" t="s">
        <v>341</v>
      </c>
      <c r="G77" s="30" t="s">
        <v>357</v>
      </c>
      <c r="H77" s="26" t="str">
        <f t="shared" ref="H77:H80" si="5">_xlfn.CONCAT("Confirm if the ",D77," ", "has approved the PR and the approver name captured in Approver fields")</f>
        <v>Confirm if the Director / Senior Director has approved the PR and the approver name captured in Approver fields</v>
      </c>
      <c r="I77" s="26"/>
      <c r="J77" s="26"/>
      <c r="K77" s="22"/>
      <c r="L77" s="22"/>
      <c r="M77" s="22"/>
      <c r="N77" s="22"/>
      <c r="O77" s="22"/>
      <c r="P77" s="35"/>
      <c r="Q77" s="22"/>
      <c r="R77" s="22"/>
      <c r="S77" s="166" t="s">
        <v>209</v>
      </c>
    </row>
    <row r="78" spans="1:19" ht="32.1">
      <c r="A78" s="213"/>
      <c r="B78" s="207"/>
      <c r="C78" s="212"/>
      <c r="D78" s="170" t="s">
        <v>358</v>
      </c>
      <c r="E78" s="22" t="s">
        <v>109</v>
      </c>
      <c r="F78" s="48" t="s">
        <v>343</v>
      </c>
      <c r="G78" s="30" t="s">
        <v>359</v>
      </c>
      <c r="H78" s="26" t="str">
        <f t="shared" si="5"/>
        <v>Confirm if the Chief HR Officer has approved the PR and the approver name captured in Approver fields</v>
      </c>
      <c r="I78" s="26"/>
      <c r="J78" s="26"/>
      <c r="K78" s="22"/>
      <c r="L78" s="22"/>
      <c r="M78" s="22"/>
      <c r="N78" s="22"/>
      <c r="O78" s="22"/>
      <c r="P78" s="35"/>
      <c r="Q78" s="22"/>
      <c r="R78" s="22"/>
      <c r="S78" s="166" t="s">
        <v>209</v>
      </c>
    </row>
    <row r="79" spans="1:19" ht="32.1">
      <c r="A79" s="213"/>
      <c r="B79" s="207"/>
      <c r="C79" s="212"/>
      <c r="D79" s="170" t="s">
        <v>331</v>
      </c>
      <c r="E79" s="22" t="s">
        <v>167</v>
      </c>
      <c r="F79" s="48" t="s">
        <v>332</v>
      </c>
      <c r="G79" s="30" t="s">
        <v>331</v>
      </c>
      <c r="H79" s="26" t="str">
        <f t="shared" si="5"/>
        <v>Confirm if the COO &amp;  CFO has approved the PR and the approver name captured in Approver fields</v>
      </c>
      <c r="I79" s="26"/>
      <c r="J79" s="26"/>
      <c r="K79" s="22"/>
      <c r="L79" s="22"/>
      <c r="M79" s="22"/>
      <c r="N79" s="22"/>
      <c r="O79" s="22"/>
      <c r="P79" s="35"/>
      <c r="Q79" s="22"/>
      <c r="R79" s="22"/>
      <c r="S79" s="166" t="s">
        <v>209</v>
      </c>
    </row>
    <row r="80" spans="1:19" ht="32.1">
      <c r="A80" s="213"/>
      <c r="B80" s="208"/>
      <c r="C80" s="212"/>
      <c r="D80" s="170" t="s">
        <v>334</v>
      </c>
      <c r="E80" s="22" t="s">
        <v>170</v>
      </c>
      <c r="F80" s="48" t="s">
        <v>335</v>
      </c>
      <c r="G80" s="30" t="s">
        <v>334</v>
      </c>
      <c r="H80" s="26" t="str">
        <f t="shared" si="5"/>
        <v>Confirm if the CEO has approved the PR and the approver name captured in Approver fields</v>
      </c>
      <c r="I80" s="26"/>
      <c r="J80" s="26"/>
      <c r="K80" s="22"/>
      <c r="L80" s="22"/>
      <c r="M80" s="22"/>
      <c r="N80" s="22"/>
      <c r="O80" s="22"/>
      <c r="P80" s="35"/>
      <c r="Q80" s="22"/>
      <c r="R80" s="22"/>
      <c r="S80" s="166" t="s">
        <v>209</v>
      </c>
    </row>
    <row r="81" spans="1:19">
      <c r="A81" s="209" t="s">
        <v>360</v>
      </c>
      <c r="B81" s="210"/>
      <c r="C81" s="210"/>
      <c r="D81" s="210"/>
      <c r="E81" s="210"/>
      <c r="F81" s="210"/>
      <c r="G81" s="210"/>
      <c r="H81" s="210"/>
      <c r="I81" s="210"/>
      <c r="J81" s="210"/>
      <c r="K81" s="210"/>
      <c r="L81" s="210"/>
      <c r="M81" s="210"/>
      <c r="N81" s="210"/>
      <c r="O81" s="210"/>
      <c r="P81" s="210"/>
      <c r="Q81" s="210"/>
      <c r="R81" s="210"/>
      <c r="S81" s="214"/>
    </row>
    <row r="82" spans="1:19" ht="32.1">
      <c r="A82" s="213" t="s">
        <v>361</v>
      </c>
      <c r="B82" s="206"/>
      <c r="C82" s="212" t="s">
        <v>362</v>
      </c>
      <c r="D82" s="147" t="s">
        <v>363</v>
      </c>
      <c r="E82" s="22" t="s">
        <v>20</v>
      </c>
      <c r="F82" s="29" t="s">
        <v>329</v>
      </c>
      <c r="G82" s="30" t="s">
        <v>364</v>
      </c>
      <c r="H82" s="26" t="str">
        <f t="shared" ref="H82:H84" si="6">_xlfn.CONCAT("Confirm if the ",D82," ", "has approved the PR and the approver name captured in Approver fields")</f>
        <v>Confirm if the Chief Information Officer - IT/Systems has approved the PR and the approver name captured in Approver fields</v>
      </c>
      <c r="I82" s="26"/>
      <c r="J82" s="26"/>
      <c r="K82" s="22"/>
      <c r="L82" s="22"/>
      <c r="M82" s="22"/>
      <c r="N82" s="22"/>
      <c r="O82" s="22"/>
      <c r="P82" s="35"/>
      <c r="Q82" s="22"/>
      <c r="R82" s="22"/>
      <c r="S82" s="166" t="s">
        <v>209</v>
      </c>
    </row>
    <row r="83" spans="1:19" ht="32.1">
      <c r="A83" s="213"/>
      <c r="B83" s="207"/>
      <c r="C83" s="212"/>
      <c r="D83" s="170" t="s">
        <v>331</v>
      </c>
      <c r="E83" s="22" t="s">
        <v>109</v>
      </c>
      <c r="F83" s="29" t="s">
        <v>332</v>
      </c>
      <c r="G83" s="30" t="s">
        <v>331</v>
      </c>
      <c r="H83" s="26" t="str">
        <f t="shared" si="6"/>
        <v>Confirm if the COO &amp;  CFO has approved the PR and the approver name captured in Approver fields</v>
      </c>
      <c r="I83" s="26"/>
      <c r="J83" s="26"/>
      <c r="K83" s="22"/>
      <c r="L83" s="22"/>
      <c r="M83" s="22"/>
      <c r="N83" s="22"/>
      <c r="O83" s="22"/>
      <c r="P83" s="35"/>
      <c r="Q83" s="22"/>
      <c r="R83" s="22"/>
      <c r="S83" s="166" t="s">
        <v>209</v>
      </c>
    </row>
    <row r="84" spans="1:19" ht="32.1">
      <c r="A84" s="213"/>
      <c r="B84" s="208"/>
      <c r="C84" s="212"/>
      <c r="D84" s="170" t="s">
        <v>334</v>
      </c>
      <c r="E84" s="22" t="s">
        <v>167</v>
      </c>
      <c r="F84" s="29" t="s">
        <v>335</v>
      </c>
      <c r="G84" s="30" t="s">
        <v>334</v>
      </c>
      <c r="H84" s="26" t="str">
        <f t="shared" si="6"/>
        <v>Confirm if the CEO has approved the PR and the approver name captured in Approver fields</v>
      </c>
      <c r="I84" s="26"/>
      <c r="J84" s="26"/>
      <c r="K84" s="22"/>
      <c r="L84" s="22"/>
      <c r="M84" s="22"/>
      <c r="N84" s="22"/>
      <c r="O84" s="22"/>
      <c r="P84" s="35"/>
      <c r="Q84" s="22"/>
      <c r="R84" s="22"/>
      <c r="S84" s="166" t="s">
        <v>209</v>
      </c>
    </row>
    <row r="85" spans="1:19">
      <c r="A85" s="209" t="s">
        <v>365</v>
      </c>
      <c r="B85" s="210"/>
      <c r="C85" s="210"/>
      <c r="D85" s="210"/>
      <c r="E85" s="210"/>
      <c r="F85" s="210"/>
      <c r="G85" s="210"/>
      <c r="H85" s="210"/>
      <c r="I85" s="210"/>
      <c r="J85" s="210"/>
      <c r="K85" s="210"/>
      <c r="L85" s="210"/>
      <c r="M85" s="210"/>
      <c r="N85" s="210"/>
      <c r="O85" s="210"/>
      <c r="P85" s="210"/>
      <c r="Q85" s="210"/>
      <c r="R85" s="210"/>
      <c r="S85" s="214"/>
    </row>
    <row r="86" spans="1:19" ht="32.1">
      <c r="A86" s="213" t="s">
        <v>366</v>
      </c>
      <c r="B86" s="206"/>
      <c r="C86" s="212" t="s">
        <v>367</v>
      </c>
      <c r="D86" s="170" t="s">
        <v>368</v>
      </c>
      <c r="E86" s="22" t="s">
        <v>20</v>
      </c>
      <c r="F86" s="48" t="s">
        <v>329</v>
      </c>
      <c r="G86" s="30" t="s">
        <v>369</v>
      </c>
      <c r="H86" s="26" t="str">
        <f t="shared" ref="H86:H88" si="7">_xlfn.CONCAT("Confirm if the ",D86," ", "has approved the PR and the approver name captured in Approver fields")</f>
        <v>Confirm if the Corporate Controller has approved the PR and the approver name captured in Approver fields</v>
      </c>
      <c r="I86" s="26"/>
      <c r="J86" s="26"/>
      <c r="K86" s="22"/>
      <c r="L86" s="22"/>
      <c r="M86" s="22"/>
      <c r="N86" s="22"/>
      <c r="O86" s="22"/>
      <c r="P86" s="35"/>
      <c r="Q86" s="22"/>
      <c r="R86" s="22"/>
      <c r="S86" s="166" t="s">
        <v>209</v>
      </c>
    </row>
    <row r="87" spans="1:19" ht="32.1">
      <c r="A87" s="213"/>
      <c r="B87" s="207"/>
      <c r="C87" s="212"/>
      <c r="D87" s="170" t="s">
        <v>331</v>
      </c>
      <c r="E87" s="22" t="s">
        <v>109</v>
      </c>
      <c r="F87" s="48" t="s">
        <v>332</v>
      </c>
      <c r="G87" s="30" t="s">
        <v>331</v>
      </c>
      <c r="H87" s="26" t="str">
        <f t="shared" si="7"/>
        <v>Confirm if the COO &amp;  CFO has approved the PR and the approver name captured in Approver fields</v>
      </c>
      <c r="I87" s="26"/>
      <c r="J87" s="26"/>
      <c r="K87" s="22"/>
      <c r="L87" s="22"/>
      <c r="M87" s="22"/>
      <c r="N87" s="22"/>
      <c r="O87" s="22"/>
      <c r="P87" s="35"/>
      <c r="Q87" s="22"/>
      <c r="R87" s="22"/>
      <c r="S87" s="166" t="s">
        <v>209</v>
      </c>
    </row>
    <row r="88" spans="1:19" ht="32.1">
      <c r="A88" s="213"/>
      <c r="B88" s="208"/>
      <c r="C88" s="212"/>
      <c r="D88" s="170" t="s">
        <v>334</v>
      </c>
      <c r="E88" s="22" t="s">
        <v>167</v>
      </c>
      <c r="F88" s="48" t="s">
        <v>335</v>
      </c>
      <c r="G88" s="30" t="s">
        <v>334</v>
      </c>
      <c r="H88" s="26" t="str">
        <f t="shared" si="7"/>
        <v>Confirm if the CEO has approved the PR and the approver name captured in Approver fields</v>
      </c>
      <c r="I88" s="26"/>
      <c r="J88" s="26"/>
      <c r="K88" s="22"/>
      <c r="L88" s="22"/>
      <c r="M88" s="22"/>
      <c r="N88" s="22"/>
      <c r="O88" s="22"/>
      <c r="P88" s="35"/>
      <c r="Q88" s="22"/>
      <c r="R88" s="22"/>
      <c r="S88" s="166" t="s">
        <v>209</v>
      </c>
    </row>
    <row r="89" spans="1:19">
      <c r="A89" s="209" t="s">
        <v>370</v>
      </c>
      <c r="B89" s="210"/>
      <c r="C89" s="210"/>
      <c r="D89" s="210"/>
      <c r="E89" s="210"/>
      <c r="F89" s="210"/>
      <c r="G89" s="210"/>
      <c r="H89" s="210"/>
      <c r="I89" s="210"/>
      <c r="J89" s="210"/>
      <c r="K89" s="210"/>
      <c r="L89" s="210"/>
      <c r="M89" s="210"/>
      <c r="N89" s="210"/>
      <c r="O89" s="210"/>
      <c r="P89" s="210"/>
      <c r="Q89" s="210"/>
      <c r="R89" s="210"/>
      <c r="S89" s="214"/>
    </row>
    <row r="90" spans="1:19" ht="32.1">
      <c r="A90" s="213" t="s">
        <v>371</v>
      </c>
      <c r="B90" s="206"/>
      <c r="C90" s="212" t="s">
        <v>372</v>
      </c>
      <c r="D90" s="147" t="s">
        <v>373</v>
      </c>
      <c r="E90" s="22" t="s">
        <v>20</v>
      </c>
      <c r="F90" s="48" t="s">
        <v>374</v>
      </c>
      <c r="G90" s="30" t="s">
        <v>373</v>
      </c>
      <c r="H90" s="26" t="str">
        <f t="shared" ref="H90:H93" si="8">_xlfn.CONCAT("Confirm if the ",D90," ", "has approved the PR and the approver name captured in Approver fields")</f>
        <v>Confirm if the VP / SVP has approved the PR and the approver name captured in Approver fields</v>
      </c>
      <c r="I90" s="26"/>
      <c r="J90" s="26"/>
      <c r="K90" s="22"/>
      <c r="L90" s="22"/>
      <c r="M90" s="22"/>
      <c r="N90" s="22"/>
      <c r="O90" s="22"/>
      <c r="P90" s="35"/>
      <c r="Q90" s="22"/>
      <c r="R90" s="22"/>
      <c r="S90" s="166" t="s">
        <v>209</v>
      </c>
    </row>
    <row r="91" spans="1:19" ht="32.1">
      <c r="A91" s="213"/>
      <c r="B91" s="207"/>
      <c r="C91" s="212"/>
      <c r="D91" s="170" t="s">
        <v>368</v>
      </c>
      <c r="E91" s="22" t="s">
        <v>109</v>
      </c>
      <c r="F91" s="48" t="s">
        <v>375</v>
      </c>
      <c r="G91" s="30" t="s">
        <v>369</v>
      </c>
      <c r="H91" s="26" t="str">
        <f t="shared" si="8"/>
        <v>Confirm if the Corporate Controller has approved the PR and the approver name captured in Approver fields</v>
      </c>
      <c r="I91" s="26"/>
      <c r="J91" s="26"/>
      <c r="K91" s="22"/>
      <c r="L91" s="22"/>
      <c r="M91" s="22"/>
      <c r="N91" s="22"/>
      <c r="O91" s="22"/>
      <c r="P91" s="35"/>
      <c r="Q91" s="22"/>
      <c r="R91" s="22"/>
      <c r="S91" s="166" t="s">
        <v>209</v>
      </c>
    </row>
    <row r="92" spans="1:19" ht="32.1">
      <c r="A92" s="213"/>
      <c r="B92" s="207"/>
      <c r="C92" s="212"/>
      <c r="D92" s="147" t="s">
        <v>331</v>
      </c>
      <c r="E92" s="22" t="s">
        <v>167</v>
      </c>
      <c r="F92" s="48" t="s">
        <v>332</v>
      </c>
      <c r="G92" s="30" t="s">
        <v>331</v>
      </c>
      <c r="H92" s="26" t="str">
        <f t="shared" si="8"/>
        <v>Confirm if the COO &amp;  CFO has approved the PR and the approver name captured in Approver fields</v>
      </c>
      <c r="I92" s="26"/>
      <c r="J92" s="26"/>
      <c r="K92" s="22"/>
      <c r="L92" s="22"/>
      <c r="M92" s="22"/>
      <c r="N92" s="22"/>
      <c r="O92" s="22"/>
      <c r="P92" s="35"/>
      <c r="Q92" s="22"/>
      <c r="R92" s="22"/>
      <c r="S92" s="166" t="s">
        <v>209</v>
      </c>
    </row>
    <row r="93" spans="1:19" ht="32.1">
      <c r="A93" s="213"/>
      <c r="B93" s="208"/>
      <c r="C93" s="212"/>
      <c r="D93" s="147" t="s">
        <v>334</v>
      </c>
      <c r="E93" s="22" t="s">
        <v>170</v>
      </c>
      <c r="F93" s="48" t="s">
        <v>335</v>
      </c>
      <c r="G93" s="30" t="s">
        <v>334</v>
      </c>
      <c r="H93" s="26" t="str">
        <f t="shared" si="8"/>
        <v>Confirm if the CEO has approved the PR and the approver name captured in Approver fields</v>
      </c>
      <c r="I93" s="26"/>
      <c r="J93" s="26"/>
      <c r="K93" s="22"/>
      <c r="L93" s="22"/>
      <c r="M93" s="22"/>
      <c r="N93" s="22"/>
      <c r="O93" s="22"/>
      <c r="P93" s="35"/>
      <c r="Q93" s="22"/>
      <c r="R93" s="22"/>
      <c r="S93" s="166" t="s">
        <v>209</v>
      </c>
    </row>
    <row r="94" spans="1:19">
      <c r="A94" s="209" t="s">
        <v>376</v>
      </c>
      <c r="B94" s="210"/>
      <c r="C94" s="210"/>
      <c r="D94" s="210"/>
      <c r="E94" s="210"/>
      <c r="F94" s="210"/>
      <c r="G94" s="210"/>
      <c r="H94" s="210"/>
      <c r="I94" s="210"/>
      <c r="J94" s="210"/>
      <c r="K94" s="210"/>
      <c r="L94" s="210"/>
      <c r="M94" s="210"/>
      <c r="N94" s="210"/>
      <c r="O94" s="210"/>
      <c r="P94" s="210"/>
      <c r="Q94" s="210"/>
      <c r="R94" s="210"/>
      <c r="S94" s="214"/>
    </row>
    <row r="95" spans="1:19" ht="32.1">
      <c r="A95" s="213" t="s">
        <v>377</v>
      </c>
      <c r="B95" s="206"/>
      <c r="C95" s="212" t="s">
        <v>378</v>
      </c>
      <c r="D95" s="147" t="s">
        <v>373</v>
      </c>
      <c r="E95" s="22" t="s">
        <v>20</v>
      </c>
      <c r="F95" s="29" t="s">
        <v>329</v>
      </c>
      <c r="G95" s="30" t="s">
        <v>373</v>
      </c>
      <c r="H95" s="26" t="str">
        <f t="shared" ref="H95:H97" si="9">_xlfn.CONCAT("Confirm if the ",D95," ", "has approved the PR and the approver name captured in Approver fields")</f>
        <v>Confirm if the VP / SVP has approved the PR and the approver name captured in Approver fields</v>
      </c>
      <c r="I95" s="26"/>
      <c r="J95" s="26"/>
      <c r="K95" s="22"/>
      <c r="L95" s="22"/>
      <c r="M95" s="22"/>
      <c r="N95" s="22"/>
      <c r="O95" s="22"/>
      <c r="P95" s="35"/>
      <c r="Q95" s="22"/>
      <c r="R95" s="22"/>
      <c r="S95" s="166" t="s">
        <v>209</v>
      </c>
    </row>
    <row r="96" spans="1:19" ht="32.1">
      <c r="A96" s="213"/>
      <c r="B96" s="207"/>
      <c r="C96" s="212"/>
      <c r="D96" s="147" t="s">
        <v>331</v>
      </c>
      <c r="E96" s="22" t="s">
        <v>109</v>
      </c>
      <c r="F96" s="29" t="s">
        <v>332</v>
      </c>
      <c r="G96" s="30" t="s">
        <v>331</v>
      </c>
      <c r="H96" s="26" t="str">
        <f t="shared" si="9"/>
        <v>Confirm if the COO &amp;  CFO has approved the PR and the approver name captured in Approver fields</v>
      </c>
      <c r="I96" s="26"/>
      <c r="J96" s="26"/>
      <c r="K96" s="22"/>
      <c r="L96" s="22"/>
      <c r="M96" s="22"/>
      <c r="N96" s="22"/>
      <c r="O96" s="22"/>
      <c r="P96" s="35"/>
      <c r="Q96" s="22"/>
      <c r="R96" s="22"/>
      <c r="S96" s="166" t="s">
        <v>209</v>
      </c>
    </row>
    <row r="97" spans="1:19" ht="32.1">
      <c r="A97" s="213"/>
      <c r="B97" s="208"/>
      <c r="C97" s="212"/>
      <c r="D97" s="147" t="s">
        <v>334</v>
      </c>
      <c r="E97" s="22" t="s">
        <v>167</v>
      </c>
      <c r="F97" s="29" t="s">
        <v>335</v>
      </c>
      <c r="G97" s="30" t="s">
        <v>334</v>
      </c>
      <c r="H97" s="26" t="str">
        <f t="shared" si="9"/>
        <v>Confirm if the CEO has approved the PR and the approver name captured in Approver fields</v>
      </c>
      <c r="I97" s="26"/>
      <c r="J97" s="26"/>
      <c r="K97" s="22"/>
      <c r="L97" s="22"/>
      <c r="M97" s="22"/>
      <c r="N97" s="22"/>
      <c r="O97" s="22"/>
      <c r="P97" s="35"/>
      <c r="Q97" s="22"/>
      <c r="R97" s="22"/>
      <c r="S97" s="166" t="s">
        <v>209</v>
      </c>
    </row>
    <row r="98" spans="1:19">
      <c r="A98" s="209" t="s">
        <v>379</v>
      </c>
      <c r="B98" s="210"/>
      <c r="C98" s="210"/>
      <c r="D98" s="210"/>
      <c r="E98" s="210"/>
      <c r="F98" s="210"/>
      <c r="G98" s="210"/>
      <c r="H98" s="210"/>
      <c r="I98" s="210"/>
      <c r="J98" s="210"/>
      <c r="K98" s="210"/>
      <c r="L98" s="210"/>
      <c r="M98" s="210"/>
      <c r="N98" s="210"/>
      <c r="O98" s="210"/>
      <c r="P98" s="210"/>
      <c r="Q98" s="210"/>
      <c r="R98" s="210"/>
      <c r="S98" s="214"/>
    </row>
    <row r="99" spans="1:19" ht="32.1">
      <c r="A99" s="213" t="s">
        <v>380</v>
      </c>
      <c r="B99" s="206"/>
      <c r="C99" s="212" t="s">
        <v>381</v>
      </c>
      <c r="D99" s="147" t="s">
        <v>382</v>
      </c>
      <c r="E99" s="22" t="s">
        <v>20</v>
      </c>
      <c r="F99" s="48" t="s">
        <v>329</v>
      </c>
      <c r="G99" s="30" t="s">
        <v>382</v>
      </c>
      <c r="H99" s="26" t="str">
        <f t="shared" ref="H99:H101" si="10">_xlfn.CONCAT("Confirm if the ",D99," ", "has approved the PR and the approver name captured in Approver fields")</f>
        <v>Confirm if the Chief Compliance Officer has approved the PR and the approver name captured in Approver fields</v>
      </c>
      <c r="I99" s="26"/>
      <c r="J99" s="26"/>
      <c r="K99" s="22"/>
      <c r="L99" s="22"/>
      <c r="M99" s="22"/>
      <c r="N99" s="22"/>
      <c r="O99" s="22"/>
      <c r="P99" s="35"/>
      <c r="Q99" s="22"/>
      <c r="R99" s="22"/>
      <c r="S99" s="166" t="s">
        <v>209</v>
      </c>
    </row>
    <row r="100" spans="1:19" ht="32.1">
      <c r="A100" s="213"/>
      <c r="B100" s="207"/>
      <c r="C100" s="212"/>
      <c r="D100" s="147" t="s">
        <v>331</v>
      </c>
      <c r="E100" s="22" t="s">
        <v>109</v>
      </c>
      <c r="F100" s="48" t="s">
        <v>332</v>
      </c>
      <c r="G100" s="30" t="s">
        <v>331</v>
      </c>
      <c r="H100" s="26" t="str">
        <f t="shared" si="10"/>
        <v>Confirm if the COO &amp;  CFO has approved the PR and the approver name captured in Approver fields</v>
      </c>
      <c r="I100" s="26"/>
      <c r="J100" s="26"/>
      <c r="K100" s="22"/>
      <c r="L100" s="22"/>
      <c r="M100" s="22"/>
      <c r="N100" s="22"/>
      <c r="O100" s="22"/>
      <c r="P100" s="35"/>
      <c r="Q100" s="22"/>
      <c r="R100" s="22"/>
      <c r="S100" s="166" t="s">
        <v>209</v>
      </c>
    </row>
    <row r="101" spans="1:19" ht="32.1">
      <c r="A101" s="213"/>
      <c r="B101" s="208"/>
      <c r="C101" s="212"/>
      <c r="D101" s="147" t="s">
        <v>334</v>
      </c>
      <c r="E101" s="22" t="s">
        <v>167</v>
      </c>
      <c r="F101" s="48" t="s">
        <v>335</v>
      </c>
      <c r="G101" s="30" t="s">
        <v>334</v>
      </c>
      <c r="H101" s="26" t="str">
        <f t="shared" si="10"/>
        <v>Confirm if the CEO has approved the PR and the approver name captured in Approver fields</v>
      </c>
      <c r="I101" s="26"/>
      <c r="J101" s="26"/>
      <c r="K101" s="22"/>
      <c r="L101" s="22"/>
      <c r="M101" s="22"/>
      <c r="N101" s="22"/>
      <c r="O101" s="22"/>
      <c r="P101" s="35"/>
      <c r="Q101" s="22"/>
      <c r="R101" s="22"/>
      <c r="S101" s="166" t="s">
        <v>209</v>
      </c>
    </row>
    <row r="102" spans="1:19">
      <c r="A102" s="209" t="s">
        <v>383</v>
      </c>
      <c r="B102" s="210"/>
      <c r="C102" s="210"/>
      <c r="D102" s="210"/>
      <c r="E102" s="210"/>
      <c r="F102" s="210"/>
      <c r="G102" s="210"/>
      <c r="H102" s="210"/>
      <c r="I102" s="210"/>
      <c r="J102" s="210"/>
      <c r="K102" s="210"/>
      <c r="L102" s="210"/>
      <c r="M102" s="210"/>
      <c r="N102" s="210"/>
      <c r="O102" s="210"/>
      <c r="P102" s="210"/>
      <c r="Q102" s="210"/>
      <c r="R102" s="210"/>
      <c r="S102" s="214"/>
    </row>
    <row r="103" spans="1:19" ht="128.1">
      <c r="A103" s="213" t="s">
        <v>384</v>
      </c>
      <c r="B103" s="206"/>
      <c r="C103" s="212" t="s">
        <v>385</v>
      </c>
      <c r="D103" s="147" t="s">
        <v>340</v>
      </c>
      <c r="E103" s="22" t="s">
        <v>20</v>
      </c>
      <c r="F103" s="48" t="s">
        <v>341</v>
      </c>
      <c r="G103" s="30" t="s">
        <v>386</v>
      </c>
      <c r="H103" s="26" t="str">
        <f t="shared" ref="H103:H106" si="11">_xlfn.CONCAT("Confirm if the ",D103," ", "has approved the PR and the approver name captured in Approver fields")</f>
        <v>Confirm if the Director / Senior Director has approved the PR and the approver name captured in Approver fields</v>
      </c>
      <c r="I103" s="26"/>
      <c r="J103" s="26"/>
      <c r="K103" s="22"/>
      <c r="L103" s="22"/>
      <c r="M103" s="22"/>
      <c r="N103" s="22"/>
      <c r="O103" s="22"/>
      <c r="P103" s="35"/>
      <c r="Q103" s="22"/>
      <c r="R103" s="22"/>
      <c r="S103" s="166" t="s">
        <v>209</v>
      </c>
    </row>
    <row r="104" spans="1:19" ht="32.1">
      <c r="A104" s="213"/>
      <c r="B104" s="207"/>
      <c r="C104" s="212"/>
      <c r="D104" s="147" t="s">
        <v>387</v>
      </c>
      <c r="E104" s="22" t="s">
        <v>109</v>
      </c>
      <c r="F104" s="48" t="s">
        <v>343</v>
      </c>
      <c r="G104" s="30" t="s">
        <v>387</v>
      </c>
      <c r="H104" s="26" t="str">
        <f t="shared" si="11"/>
        <v>Confirm if the CTO or SVP - Global Head of Engineering has approved the PR and the approver name captured in Approver fields</v>
      </c>
      <c r="I104" s="26"/>
      <c r="J104" s="26"/>
      <c r="K104" s="22"/>
      <c r="L104" s="22"/>
      <c r="M104" s="22"/>
      <c r="N104" s="22"/>
      <c r="O104" s="22"/>
      <c r="P104" s="35"/>
      <c r="Q104" s="22"/>
      <c r="R104" s="22"/>
      <c r="S104" s="166" t="s">
        <v>209</v>
      </c>
    </row>
    <row r="105" spans="1:19" ht="32.1">
      <c r="A105" s="213"/>
      <c r="B105" s="207"/>
      <c r="C105" s="212"/>
      <c r="D105" s="147" t="s">
        <v>331</v>
      </c>
      <c r="E105" s="22" t="s">
        <v>167</v>
      </c>
      <c r="F105" s="48" t="s">
        <v>332</v>
      </c>
      <c r="G105" s="30" t="s">
        <v>331</v>
      </c>
      <c r="H105" s="26" t="str">
        <f t="shared" si="11"/>
        <v>Confirm if the COO &amp;  CFO has approved the PR and the approver name captured in Approver fields</v>
      </c>
      <c r="I105" s="26"/>
      <c r="J105" s="26"/>
      <c r="K105" s="22"/>
      <c r="L105" s="22"/>
      <c r="M105" s="22"/>
      <c r="N105" s="22"/>
      <c r="O105" s="22"/>
      <c r="P105" s="35"/>
      <c r="Q105" s="22"/>
      <c r="R105" s="22"/>
      <c r="S105" s="166" t="s">
        <v>209</v>
      </c>
    </row>
    <row r="106" spans="1:19" ht="32.1">
      <c r="A106" s="213"/>
      <c r="B106" s="208"/>
      <c r="C106" s="212"/>
      <c r="D106" s="147" t="s">
        <v>334</v>
      </c>
      <c r="E106" s="22" t="s">
        <v>170</v>
      </c>
      <c r="F106" s="48" t="s">
        <v>335</v>
      </c>
      <c r="G106" s="30" t="s">
        <v>334</v>
      </c>
      <c r="H106" s="26" t="str">
        <f t="shared" si="11"/>
        <v>Confirm if the CEO has approved the PR and the approver name captured in Approver fields</v>
      </c>
      <c r="I106" s="26"/>
      <c r="J106" s="26"/>
      <c r="K106" s="22"/>
      <c r="L106" s="22"/>
      <c r="M106" s="22"/>
      <c r="N106" s="22"/>
      <c r="O106" s="22"/>
      <c r="P106" s="35"/>
      <c r="Q106" s="22"/>
      <c r="R106" s="22"/>
      <c r="S106" s="166" t="s">
        <v>209</v>
      </c>
    </row>
    <row r="107" spans="1:19">
      <c r="A107" s="209" t="s">
        <v>388</v>
      </c>
      <c r="B107" s="210"/>
      <c r="C107" s="210"/>
      <c r="D107" s="210"/>
      <c r="E107" s="210"/>
      <c r="F107" s="210"/>
      <c r="G107" s="210"/>
      <c r="H107" s="210"/>
      <c r="I107" s="210"/>
      <c r="J107" s="210"/>
      <c r="K107" s="210"/>
      <c r="L107" s="210"/>
      <c r="M107" s="210"/>
      <c r="N107" s="210"/>
      <c r="O107" s="210"/>
      <c r="P107" s="210"/>
      <c r="Q107" s="210"/>
      <c r="R107" s="210"/>
      <c r="S107" s="214"/>
    </row>
    <row r="108" spans="1:19" ht="32.1">
      <c r="A108" s="206" t="s">
        <v>389</v>
      </c>
      <c r="B108" s="206"/>
      <c r="C108" s="221" t="s">
        <v>390</v>
      </c>
      <c r="D108" s="147" t="s">
        <v>391</v>
      </c>
      <c r="E108" s="22" t="s">
        <v>20</v>
      </c>
      <c r="F108" s="48" t="s">
        <v>329</v>
      </c>
      <c r="G108" s="30" t="s">
        <v>391</v>
      </c>
      <c r="H108" s="26" t="str">
        <f t="shared" ref="H108:H110" si="12">_xlfn.CONCAT("Confirm if the ",D108," ", "has approved the PR and the approver name captured in Approver fields")</f>
        <v>Confirm if the Chief Revenue Officer has approved the PR and the approver name captured in Approver fields</v>
      </c>
      <c r="I108" s="26"/>
      <c r="J108" s="26"/>
      <c r="K108" s="22"/>
      <c r="L108" s="22"/>
      <c r="M108" s="22"/>
      <c r="N108" s="22"/>
      <c r="O108" s="22"/>
      <c r="P108" s="35"/>
      <c r="Q108" s="22"/>
      <c r="R108" s="22"/>
      <c r="S108" s="166" t="s">
        <v>209</v>
      </c>
    </row>
    <row r="109" spans="1:19" ht="32.1">
      <c r="A109" s="207"/>
      <c r="B109" s="207"/>
      <c r="C109" s="222"/>
      <c r="D109" s="147" t="s">
        <v>331</v>
      </c>
      <c r="E109" s="22" t="s">
        <v>109</v>
      </c>
      <c r="F109" s="48" t="s">
        <v>332</v>
      </c>
      <c r="G109" s="30" t="s">
        <v>331</v>
      </c>
      <c r="H109" s="26" t="str">
        <f t="shared" si="12"/>
        <v>Confirm if the COO &amp;  CFO has approved the PR and the approver name captured in Approver fields</v>
      </c>
      <c r="I109" s="26"/>
      <c r="J109" s="26"/>
      <c r="K109" s="22"/>
      <c r="L109" s="22"/>
      <c r="M109" s="22"/>
      <c r="N109" s="22"/>
      <c r="O109" s="22"/>
      <c r="P109" s="35"/>
      <c r="Q109" s="22"/>
      <c r="R109" s="22"/>
      <c r="S109" s="166" t="s">
        <v>209</v>
      </c>
    </row>
    <row r="110" spans="1:19" ht="32.1">
      <c r="A110" s="208"/>
      <c r="B110" s="208"/>
      <c r="C110" s="223"/>
      <c r="D110" s="147" t="s">
        <v>334</v>
      </c>
      <c r="E110" s="22" t="s">
        <v>167</v>
      </c>
      <c r="F110" s="48" t="s">
        <v>335</v>
      </c>
      <c r="G110" s="30" t="s">
        <v>334</v>
      </c>
      <c r="H110" s="26" t="str">
        <f t="shared" si="12"/>
        <v>Confirm if the CEO has approved the PR and the approver name captured in Approver fields</v>
      </c>
      <c r="I110" s="26"/>
      <c r="J110" s="26"/>
      <c r="K110" s="22"/>
      <c r="L110" s="22"/>
      <c r="M110" s="22"/>
      <c r="N110" s="22"/>
      <c r="O110" s="22"/>
      <c r="P110" s="35"/>
      <c r="Q110" s="22"/>
      <c r="R110" s="22"/>
      <c r="S110" s="166" t="s">
        <v>209</v>
      </c>
    </row>
    <row r="111" spans="1:19">
      <c r="A111" s="209" t="s">
        <v>392</v>
      </c>
      <c r="B111" s="210"/>
      <c r="C111" s="210"/>
      <c r="D111" s="210"/>
      <c r="E111" s="210"/>
      <c r="F111" s="210"/>
      <c r="G111" s="210"/>
      <c r="H111" s="210"/>
      <c r="I111" s="210"/>
      <c r="J111" s="210"/>
      <c r="K111" s="210"/>
      <c r="L111" s="210"/>
      <c r="M111" s="210"/>
      <c r="N111" s="210"/>
      <c r="O111" s="210"/>
      <c r="P111" s="210"/>
      <c r="Q111" s="210"/>
      <c r="R111" s="210"/>
      <c r="S111" s="211"/>
    </row>
    <row r="112" spans="1:19" ht="32.1">
      <c r="A112" s="206" t="s">
        <v>393</v>
      </c>
      <c r="B112" s="206"/>
      <c r="C112" s="221" t="s">
        <v>394</v>
      </c>
      <c r="D112" s="147" t="s">
        <v>395</v>
      </c>
      <c r="E112" s="22" t="s">
        <v>20</v>
      </c>
      <c r="F112" s="48" t="s">
        <v>329</v>
      </c>
      <c r="G112" s="153" t="s">
        <v>395</v>
      </c>
      <c r="H112" s="26" t="str">
        <f t="shared" ref="H112:H114" si="13">_xlfn.CONCAT("Confirm if the ",D112," ", "has approved the PR and the approver name captured in Approver fields")</f>
        <v>Confirm if the Senior Director - Cloud Operations has approved the PR and the approver name captured in Approver fields</v>
      </c>
      <c r="I112" s="26"/>
      <c r="J112" s="26"/>
      <c r="K112" s="22"/>
      <c r="L112" s="22"/>
      <c r="M112" s="22"/>
      <c r="N112" s="22"/>
      <c r="O112" s="22"/>
      <c r="P112" s="35"/>
      <c r="Q112" s="22"/>
      <c r="R112" s="22"/>
      <c r="S112" s="166" t="s">
        <v>209</v>
      </c>
    </row>
    <row r="113" spans="1:19" ht="32.1">
      <c r="A113" s="207"/>
      <c r="B113" s="207"/>
      <c r="C113" s="222"/>
      <c r="D113" s="170" t="s">
        <v>331</v>
      </c>
      <c r="E113" s="22" t="s">
        <v>109</v>
      </c>
      <c r="F113" s="48" t="s">
        <v>332</v>
      </c>
      <c r="G113" s="154" t="s">
        <v>331</v>
      </c>
      <c r="H113" s="26" t="str">
        <f t="shared" si="13"/>
        <v>Confirm if the COO &amp;  CFO has approved the PR and the approver name captured in Approver fields</v>
      </c>
      <c r="I113" s="26"/>
      <c r="J113" s="26"/>
      <c r="K113" s="22"/>
      <c r="L113" s="22"/>
      <c r="M113" s="22"/>
      <c r="N113" s="22"/>
      <c r="O113" s="22"/>
      <c r="P113" s="35"/>
      <c r="Q113" s="22"/>
      <c r="R113" s="22"/>
      <c r="S113" s="166" t="s">
        <v>209</v>
      </c>
    </row>
    <row r="114" spans="1:19" ht="32.1">
      <c r="A114" s="208"/>
      <c r="B114" s="208"/>
      <c r="C114" s="223"/>
      <c r="D114" s="170" t="s">
        <v>334</v>
      </c>
      <c r="E114" s="22" t="s">
        <v>167</v>
      </c>
      <c r="F114" s="48" t="s">
        <v>335</v>
      </c>
      <c r="G114" s="154" t="s">
        <v>334</v>
      </c>
      <c r="H114" s="26" t="str">
        <f t="shared" si="13"/>
        <v>Confirm if the CEO has approved the PR and the approver name captured in Approver fields</v>
      </c>
      <c r="I114" s="26"/>
      <c r="J114" s="26"/>
      <c r="K114" s="22"/>
      <c r="L114" s="22"/>
      <c r="M114" s="22"/>
      <c r="N114" s="22"/>
      <c r="O114" s="22"/>
      <c r="P114" s="35"/>
      <c r="Q114" s="22"/>
      <c r="R114" s="22"/>
      <c r="S114" s="166" t="s">
        <v>209</v>
      </c>
    </row>
    <row r="115" spans="1:19">
      <c r="A115" s="209" t="s">
        <v>396</v>
      </c>
      <c r="B115" s="210"/>
      <c r="C115" s="210"/>
      <c r="D115" s="210"/>
      <c r="E115" s="210"/>
      <c r="F115" s="210"/>
      <c r="G115" s="210"/>
      <c r="H115" s="210"/>
      <c r="I115" s="210"/>
      <c r="J115" s="210"/>
      <c r="K115" s="210"/>
      <c r="L115" s="210"/>
      <c r="M115" s="210"/>
      <c r="N115" s="210"/>
      <c r="O115" s="210"/>
      <c r="P115" s="210"/>
      <c r="Q115" s="210"/>
      <c r="R115" s="210"/>
      <c r="S115" s="211"/>
    </row>
    <row r="116" spans="1:19" ht="32.1">
      <c r="A116" s="206" t="s">
        <v>397</v>
      </c>
      <c r="B116" s="206"/>
      <c r="C116" s="221" t="s">
        <v>398</v>
      </c>
      <c r="D116" s="147" t="s">
        <v>399</v>
      </c>
      <c r="E116" s="22" t="s">
        <v>20</v>
      </c>
      <c r="F116" s="48" t="s">
        <v>329</v>
      </c>
      <c r="G116" s="30" t="s">
        <v>399</v>
      </c>
      <c r="H116" s="26" t="str">
        <f t="shared" ref="H116:H118" si="14">_xlfn.CONCAT("Confirm if the ",D116," ", "has approved the PR and the approver name captured in Approver fields")</f>
        <v>Confirm if the Chief Marketing Officer has approved the PR and the approver name captured in Approver fields</v>
      </c>
      <c r="I116" s="26"/>
      <c r="J116" s="26"/>
      <c r="K116" s="22"/>
      <c r="L116" s="22"/>
      <c r="M116" s="22"/>
      <c r="N116" s="22"/>
      <c r="O116" s="22"/>
      <c r="P116" s="35"/>
      <c r="Q116" s="22"/>
      <c r="R116" s="22"/>
      <c r="S116" s="166" t="s">
        <v>209</v>
      </c>
    </row>
    <row r="117" spans="1:19" ht="32.1">
      <c r="A117" s="207"/>
      <c r="B117" s="207"/>
      <c r="C117" s="222"/>
      <c r="D117" s="147" t="s">
        <v>331</v>
      </c>
      <c r="E117" s="22" t="s">
        <v>109</v>
      </c>
      <c r="F117" s="48" t="s">
        <v>332</v>
      </c>
      <c r="G117" s="30" t="s">
        <v>331</v>
      </c>
      <c r="H117" s="26" t="str">
        <f t="shared" si="14"/>
        <v>Confirm if the COO &amp;  CFO has approved the PR and the approver name captured in Approver fields</v>
      </c>
      <c r="I117" s="26"/>
      <c r="J117" s="26"/>
      <c r="K117" s="22"/>
      <c r="L117" s="22"/>
      <c r="M117" s="22"/>
      <c r="N117" s="22"/>
      <c r="O117" s="22"/>
      <c r="P117" s="35"/>
      <c r="Q117" s="22"/>
      <c r="R117" s="22"/>
      <c r="S117" s="166" t="s">
        <v>209</v>
      </c>
    </row>
    <row r="118" spans="1:19" ht="32.1">
      <c r="A118" s="208"/>
      <c r="B118" s="208"/>
      <c r="C118" s="223"/>
      <c r="D118" s="147" t="s">
        <v>334</v>
      </c>
      <c r="E118" s="22" t="s">
        <v>167</v>
      </c>
      <c r="F118" s="48" t="s">
        <v>335</v>
      </c>
      <c r="G118" s="30" t="s">
        <v>334</v>
      </c>
      <c r="H118" s="26" t="str">
        <f t="shared" si="14"/>
        <v>Confirm if the CEO has approved the PR and the approver name captured in Approver fields</v>
      </c>
      <c r="I118" s="26"/>
      <c r="J118" s="26"/>
      <c r="K118" s="22"/>
      <c r="L118" s="22"/>
      <c r="M118" s="22"/>
      <c r="N118" s="22"/>
      <c r="O118" s="22"/>
      <c r="P118" s="35"/>
      <c r="Q118" s="22"/>
      <c r="R118" s="22"/>
      <c r="S118" s="166" t="s">
        <v>209</v>
      </c>
    </row>
    <row r="119" spans="1:19">
      <c r="A119" s="209" t="s">
        <v>400</v>
      </c>
      <c r="B119" s="210"/>
      <c r="C119" s="210"/>
      <c r="D119" s="210"/>
      <c r="E119" s="210"/>
      <c r="F119" s="210"/>
      <c r="G119" s="210"/>
      <c r="H119" s="210"/>
      <c r="I119" s="210"/>
      <c r="J119" s="210"/>
      <c r="K119" s="210"/>
      <c r="L119" s="210"/>
      <c r="M119" s="210"/>
      <c r="N119" s="210"/>
      <c r="O119" s="210"/>
      <c r="P119" s="210"/>
      <c r="Q119" s="210"/>
      <c r="R119" s="210"/>
      <c r="S119" s="214"/>
    </row>
    <row r="120" spans="1:19" ht="32.1">
      <c r="A120" s="213" t="s">
        <v>401</v>
      </c>
      <c r="B120" s="206"/>
      <c r="C120" s="212" t="s">
        <v>402</v>
      </c>
      <c r="D120" s="147" t="s">
        <v>403</v>
      </c>
      <c r="E120" s="22" t="s">
        <v>20</v>
      </c>
      <c r="F120" s="48" t="s">
        <v>329</v>
      </c>
      <c r="G120" s="30" t="s">
        <v>403</v>
      </c>
      <c r="H120" s="26" t="str">
        <f t="shared" ref="H120:H122" si="15">_xlfn.CONCAT("Confirm if the ",D120," ", "has approved the PR and the approver name captured in Approver fields")</f>
        <v>Confirm if the Chief Product Manager has approved the PR and the approver name captured in Approver fields</v>
      </c>
      <c r="I120" s="26"/>
      <c r="J120" s="26"/>
      <c r="K120" s="22"/>
      <c r="L120" s="22"/>
      <c r="M120" s="22"/>
      <c r="N120" s="22"/>
      <c r="O120" s="22"/>
      <c r="P120" s="35"/>
      <c r="Q120" s="22"/>
      <c r="R120" s="22"/>
      <c r="S120" s="166" t="s">
        <v>209</v>
      </c>
    </row>
    <row r="121" spans="1:19" ht="32.1">
      <c r="A121" s="213"/>
      <c r="B121" s="207"/>
      <c r="C121" s="212"/>
      <c r="D121" s="147" t="s">
        <v>331</v>
      </c>
      <c r="E121" s="22" t="s">
        <v>109</v>
      </c>
      <c r="F121" s="48" t="s">
        <v>332</v>
      </c>
      <c r="G121" s="30" t="s">
        <v>331</v>
      </c>
      <c r="H121" s="26" t="str">
        <f t="shared" si="15"/>
        <v>Confirm if the COO &amp;  CFO has approved the PR and the approver name captured in Approver fields</v>
      </c>
      <c r="I121" s="26"/>
      <c r="J121" s="26"/>
      <c r="K121" s="22"/>
      <c r="L121" s="22"/>
      <c r="M121" s="22"/>
      <c r="N121" s="22"/>
      <c r="O121" s="22"/>
      <c r="P121" s="35"/>
      <c r="Q121" s="22"/>
      <c r="R121" s="22"/>
      <c r="S121" s="166" t="s">
        <v>209</v>
      </c>
    </row>
    <row r="122" spans="1:19" ht="32.1">
      <c r="A122" s="213"/>
      <c r="B122" s="208"/>
      <c r="C122" s="212"/>
      <c r="D122" s="147" t="s">
        <v>334</v>
      </c>
      <c r="E122" s="22" t="s">
        <v>167</v>
      </c>
      <c r="F122" s="48" t="s">
        <v>335</v>
      </c>
      <c r="G122" s="30" t="s">
        <v>334</v>
      </c>
      <c r="H122" s="26" t="str">
        <f t="shared" si="15"/>
        <v>Confirm if the CEO has approved the PR and the approver name captured in Approver fields</v>
      </c>
      <c r="I122" s="26"/>
      <c r="J122" s="26"/>
      <c r="K122" s="22"/>
      <c r="L122" s="22"/>
      <c r="M122" s="22"/>
      <c r="N122" s="22"/>
      <c r="O122" s="22"/>
      <c r="P122" s="35"/>
      <c r="Q122" s="22"/>
      <c r="R122" s="22"/>
      <c r="S122" s="166" t="s">
        <v>209</v>
      </c>
    </row>
    <row r="123" spans="1:19">
      <c r="A123" s="209" t="s">
        <v>404</v>
      </c>
      <c r="B123" s="210"/>
      <c r="C123" s="210"/>
      <c r="D123" s="210"/>
      <c r="E123" s="210"/>
      <c r="F123" s="210"/>
      <c r="G123" s="210"/>
      <c r="H123" s="210"/>
      <c r="I123" s="210"/>
      <c r="J123" s="210"/>
      <c r="K123" s="210"/>
      <c r="L123" s="210"/>
      <c r="M123" s="210"/>
      <c r="N123" s="210"/>
      <c r="O123" s="210"/>
      <c r="P123" s="210"/>
      <c r="Q123" s="210"/>
      <c r="R123" s="210"/>
      <c r="S123" s="214"/>
    </row>
    <row r="124" spans="1:19" ht="32.1">
      <c r="A124" s="213" t="s">
        <v>405</v>
      </c>
      <c r="B124" s="206"/>
      <c r="C124" s="212" t="s">
        <v>406</v>
      </c>
      <c r="D124" s="147" t="s">
        <v>340</v>
      </c>
      <c r="E124" s="22" t="s">
        <v>20</v>
      </c>
      <c r="F124" s="29" t="s">
        <v>341</v>
      </c>
      <c r="G124" s="30" t="s">
        <v>340</v>
      </c>
      <c r="H124" s="26" t="str">
        <f t="shared" ref="H124:H135" si="16">_xlfn.CONCAT("Confirm if the ",D124," ", "has approved the PR and the approver name captured in Approver fields")</f>
        <v>Confirm if the Director / Senior Director has approved the PR and the approver name captured in Approver fields</v>
      </c>
      <c r="I124" s="26"/>
      <c r="J124" s="26"/>
      <c r="K124" s="22"/>
      <c r="L124" s="22"/>
      <c r="M124" s="22"/>
      <c r="N124" s="22"/>
      <c r="O124" s="22"/>
      <c r="P124" s="35"/>
      <c r="Q124" s="22"/>
      <c r="R124" s="22"/>
      <c r="S124" s="166" t="s">
        <v>209</v>
      </c>
    </row>
    <row r="125" spans="1:19" ht="32.1">
      <c r="A125" s="213"/>
      <c r="B125" s="207"/>
      <c r="C125" s="212"/>
      <c r="D125" s="147" t="s">
        <v>407</v>
      </c>
      <c r="E125" s="22" t="s">
        <v>109</v>
      </c>
      <c r="F125" s="29" t="s">
        <v>343</v>
      </c>
      <c r="G125" s="30" t="s">
        <v>407</v>
      </c>
      <c r="H125" s="26" t="str">
        <f t="shared" si="16"/>
        <v>Confirm if the SVP &amp; Global Head - Risk has approved the PR and the approver name captured in Approver fields</v>
      </c>
      <c r="I125" s="26"/>
      <c r="J125" s="26"/>
      <c r="K125" s="22"/>
      <c r="L125" s="22"/>
      <c r="M125" s="22"/>
      <c r="N125" s="22"/>
      <c r="O125" s="22"/>
      <c r="P125" s="35"/>
      <c r="Q125" s="22"/>
      <c r="R125" s="22"/>
      <c r="S125" s="166" t="s">
        <v>209</v>
      </c>
    </row>
    <row r="126" spans="1:19" ht="32.1">
      <c r="A126" s="213"/>
      <c r="B126" s="207"/>
      <c r="C126" s="212"/>
      <c r="D126" s="147" t="s">
        <v>331</v>
      </c>
      <c r="E126" s="22" t="s">
        <v>167</v>
      </c>
      <c r="F126" s="29" t="s">
        <v>332</v>
      </c>
      <c r="G126" s="30" t="s">
        <v>331</v>
      </c>
      <c r="H126" s="26" t="str">
        <f t="shared" si="16"/>
        <v>Confirm if the COO &amp;  CFO has approved the PR and the approver name captured in Approver fields</v>
      </c>
      <c r="I126" s="26"/>
      <c r="J126" s="26"/>
      <c r="K126" s="22"/>
      <c r="L126" s="22"/>
      <c r="M126" s="22"/>
      <c r="N126" s="22"/>
      <c r="O126" s="22"/>
      <c r="P126" s="35"/>
      <c r="Q126" s="22"/>
      <c r="R126" s="22"/>
      <c r="S126" s="166" t="s">
        <v>209</v>
      </c>
    </row>
    <row r="127" spans="1:19" ht="32.1">
      <c r="A127" s="213"/>
      <c r="B127" s="208"/>
      <c r="C127" s="212"/>
      <c r="D127" s="147" t="s">
        <v>334</v>
      </c>
      <c r="E127" s="22" t="s">
        <v>170</v>
      </c>
      <c r="F127" s="29" t="s">
        <v>335</v>
      </c>
      <c r="G127" s="30" t="s">
        <v>334</v>
      </c>
      <c r="H127" s="26" t="str">
        <f t="shared" si="16"/>
        <v>Confirm if the CEO has approved the PR and the approver name captured in Approver fields</v>
      </c>
      <c r="I127" s="26"/>
      <c r="J127" s="26"/>
      <c r="K127" s="22"/>
      <c r="L127" s="22"/>
      <c r="M127" s="22"/>
      <c r="N127" s="22"/>
      <c r="O127" s="22"/>
      <c r="P127" s="35"/>
      <c r="Q127" s="22"/>
      <c r="R127" s="22"/>
      <c r="S127" s="166" t="s">
        <v>209</v>
      </c>
    </row>
    <row r="128" spans="1:19">
      <c r="A128" s="209" t="s">
        <v>408</v>
      </c>
      <c r="B128" s="210"/>
      <c r="C128" s="210"/>
      <c r="D128" s="210"/>
      <c r="E128" s="210"/>
      <c r="F128" s="210"/>
      <c r="G128" s="210"/>
      <c r="H128" s="210"/>
      <c r="I128" s="210"/>
      <c r="J128" s="210"/>
      <c r="K128" s="210"/>
      <c r="L128" s="210"/>
      <c r="M128" s="210"/>
      <c r="N128" s="210"/>
      <c r="O128" s="210"/>
      <c r="P128" s="210"/>
      <c r="Q128" s="210"/>
      <c r="R128" s="210"/>
      <c r="S128" s="214"/>
    </row>
    <row r="129" spans="1:19" ht="32.1">
      <c r="A129" s="206" t="s">
        <v>409</v>
      </c>
      <c r="B129" s="206"/>
      <c r="C129" s="236" t="s">
        <v>410</v>
      </c>
      <c r="D129" s="171" t="s">
        <v>411</v>
      </c>
      <c r="E129" s="22" t="s">
        <v>20</v>
      </c>
      <c r="F129" s="155" t="s">
        <v>329</v>
      </c>
      <c r="G129" s="156" t="s">
        <v>411</v>
      </c>
      <c r="H129" s="26" t="str">
        <f t="shared" si="16"/>
        <v>Confirm if the VP has approved the PR and the approver name captured in Approver fields</v>
      </c>
      <c r="I129" s="26"/>
      <c r="J129" s="26"/>
      <c r="K129" s="22"/>
      <c r="L129" s="22"/>
      <c r="M129" s="22"/>
      <c r="N129" s="22"/>
      <c r="O129" s="22"/>
      <c r="P129" s="35"/>
      <c r="Q129" s="22"/>
      <c r="R129" s="22"/>
      <c r="S129" s="166" t="s">
        <v>209</v>
      </c>
    </row>
    <row r="130" spans="1:19" ht="32.1">
      <c r="A130" s="207"/>
      <c r="B130" s="207"/>
      <c r="C130" s="237"/>
      <c r="D130" s="171" t="s">
        <v>331</v>
      </c>
      <c r="E130" s="22" t="s">
        <v>109</v>
      </c>
      <c r="F130" s="155" t="s">
        <v>332</v>
      </c>
      <c r="G130" s="156" t="s">
        <v>331</v>
      </c>
      <c r="H130" s="26" t="str">
        <f t="shared" si="16"/>
        <v>Confirm if the COO &amp;  CFO has approved the PR and the approver name captured in Approver fields</v>
      </c>
      <c r="I130" s="26"/>
      <c r="J130" s="26"/>
      <c r="K130" s="22"/>
      <c r="L130" s="22"/>
      <c r="M130" s="22"/>
      <c r="N130" s="22"/>
      <c r="O130" s="22"/>
      <c r="P130" s="35"/>
      <c r="Q130" s="22"/>
      <c r="R130" s="22"/>
      <c r="S130" s="166" t="s">
        <v>209</v>
      </c>
    </row>
    <row r="131" spans="1:19" ht="32.1">
      <c r="A131" s="278"/>
      <c r="B131" s="208"/>
      <c r="C131" s="238"/>
      <c r="D131" s="171" t="s">
        <v>334</v>
      </c>
      <c r="E131" s="22" t="s">
        <v>167</v>
      </c>
      <c r="F131" s="155" t="s">
        <v>335</v>
      </c>
      <c r="G131" s="156" t="s">
        <v>334</v>
      </c>
      <c r="H131" s="26" t="str">
        <f t="shared" si="16"/>
        <v>Confirm if the CEO has approved the PR and the approver name captured in Approver fields</v>
      </c>
      <c r="I131" s="26"/>
      <c r="J131" s="26"/>
      <c r="K131" s="22"/>
      <c r="L131" s="22"/>
      <c r="M131" s="22"/>
      <c r="N131" s="22"/>
      <c r="O131" s="22"/>
      <c r="P131" s="35"/>
      <c r="Q131" s="22"/>
      <c r="R131" s="22"/>
      <c r="S131" s="166" t="s">
        <v>209</v>
      </c>
    </row>
    <row r="132" spans="1:19">
      <c r="A132" s="209" t="s">
        <v>412</v>
      </c>
      <c r="B132" s="210"/>
      <c r="C132" s="210"/>
      <c r="D132" s="210"/>
      <c r="E132" s="210"/>
      <c r="F132" s="210"/>
      <c r="G132" s="210"/>
      <c r="H132" s="210"/>
      <c r="I132" s="210"/>
      <c r="J132" s="210"/>
      <c r="K132" s="210"/>
      <c r="L132" s="210"/>
      <c r="M132" s="210"/>
      <c r="N132" s="210"/>
      <c r="O132" s="210"/>
      <c r="P132" s="210"/>
      <c r="Q132" s="210"/>
      <c r="R132" s="210"/>
      <c r="S132" s="214"/>
    </row>
    <row r="133" spans="1:19" s="155" customFormat="1" ht="32.1">
      <c r="A133" s="279" t="s">
        <v>413</v>
      </c>
      <c r="B133" s="239"/>
      <c r="C133" s="239" t="s">
        <v>414</v>
      </c>
      <c r="D133" s="171" t="s">
        <v>415</v>
      </c>
      <c r="E133" s="22" t="s">
        <v>20</v>
      </c>
      <c r="F133" s="155" t="s">
        <v>329</v>
      </c>
      <c r="G133" s="156" t="s">
        <v>415</v>
      </c>
      <c r="H133" s="26" t="str">
        <f t="shared" si="16"/>
        <v>Confirm if the CTO has approved the PR and the approver name captured in Approver fields</v>
      </c>
      <c r="S133" s="166" t="s">
        <v>209</v>
      </c>
    </row>
    <row r="134" spans="1:19" s="155" customFormat="1" ht="32.1">
      <c r="A134" s="240"/>
      <c r="B134" s="240"/>
      <c r="C134" s="240"/>
      <c r="D134" s="171" t="s">
        <v>331</v>
      </c>
      <c r="E134" s="22" t="s">
        <v>109</v>
      </c>
      <c r="F134" s="155" t="s">
        <v>332</v>
      </c>
      <c r="G134" s="156" t="s">
        <v>331</v>
      </c>
      <c r="H134" s="26" t="str">
        <f t="shared" si="16"/>
        <v>Confirm if the COO &amp;  CFO has approved the PR and the approver name captured in Approver fields</v>
      </c>
      <c r="S134" s="166" t="s">
        <v>209</v>
      </c>
    </row>
    <row r="135" spans="1:19" s="155" customFormat="1" ht="32.1">
      <c r="A135" s="241"/>
      <c r="B135" s="241"/>
      <c r="C135" s="241"/>
      <c r="D135" s="171" t="s">
        <v>334</v>
      </c>
      <c r="E135" s="22" t="s">
        <v>167</v>
      </c>
      <c r="F135" s="155" t="s">
        <v>335</v>
      </c>
      <c r="G135" s="156" t="s">
        <v>334</v>
      </c>
      <c r="H135" s="26" t="str">
        <f t="shared" si="16"/>
        <v>Confirm if the CEO has approved the PR and the approver name captured in Approver fields</v>
      </c>
      <c r="S135" s="166" t="s">
        <v>209</v>
      </c>
    </row>
    <row r="136" spans="1:19" ht="63.95">
      <c r="A136" s="206" t="s">
        <v>416</v>
      </c>
      <c r="B136" s="21"/>
      <c r="C136" s="29" t="s">
        <v>417</v>
      </c>
      <c r="D136" s="35" t="s">
        <v>418</v>
      </c>
      <c r="E136" s="22" t="s">
        <v>20</v>
      </c>
      <c r="F136" s="31" t="s">
        <v>419</v>
      </c>
      <c r="G136" s="25" t="str">
        <f>_xlfn.CONCAT(D136, " will approve the PR")</f>
        <v>CFO will approve the PR</v>
      </c>
      <c r="H136" s="26" t="str">
        <f>_xlfn.CONCAT("Confirm if ",D136," approved the PR")</f>
        <v>Confirm if CFO approved the PR</v>
      </c>
      <c r="I136" s="26"/>
      <c r="J136" s="26"/>
      <c r="K136" s="22"/>
      <c r="L136" s="22"/>
      <c r="M136" s="22"/>
      <c r="N136" s="22"/>
      <c r="O136" s="22"/>
      <c r="P136" s="35"/>
      <c r="Q136" s="22"/>
      <c r="R136" s="22"/>
      <c r="S136" s="166" t="s">
        <v>209</v>
      </c>
    </row>
    <row r="137" spans="1:19" ht="63.95">
      <c r="A137" s="207"/>
      <c r="B137" s="21"/>
      <c r="C137" s="29" t="s">
        <v>420</v>
      </c>
      <c r="D137" s="35" t="s">
        <v>421</v>
      </c>
      <c r="E137" s="22" t="s">
        <v>20</v>
      </c>
      <c r="F137" s="31" t="s">
        <v>422</v>
      </c>
      <c r="G137" s="25" t="str">
        <f t="shared" ref="G137:G146" si="17">_xlfn.CONCAT(D137, " will approve the PR")</f>
        <v>FPA &amp; CFO will approve the PR</v>
      </c>
      <c r="H137" s="26" t="str">
        <f t="shared" ref="H137:H146" si="18">_xlfn.CONCAT("Confirm if ",D137," approved the PR")</f>
        <v>Confirm if FPA &amp; CFO approved the PR</v>
      </c>
      <c r="I137" s="26"/>
      <c r="J137" s="26"/>
      <c r="K137" s="22"/>
      <c r="L137" s="22"/>
      <c r="M137" s="22"/>
      <c r="N137" s="22"/>
      <c r="O137" s="22"/>
      <c r="P137" s="35"/>
      <c r="Q137" s="22"/>
      <c r="R137" s="22"/>
      <c r="S137" s="166" t="s">
        <v>209</v>
      </c>
    </row>
    <row r="138" spans="1:19" ht="63.95">
      <c r="A138" s="207"/>
      <c r="B138" s="21"/>
      <c r="C138" s="29" t="s">
        <v>423</v>
      </c>
      <c r="D138" s="35" t="s">
        <v>424</v>
      </c>
      <c r="E138" s="22" t="s">
        <v>20</v>
      </c>
      <c r="F138" s="31" t="s">
        <v>425</v>
      </c>
      <c r="G138" s="25" t="str">
        <f t="shared" si="17"/>
        <v xml:space="preserve"> FPA will approve the PR</v>
      </c>
      <c r="H138" s="26" t="str">
        <f t="shared" si="18"/>
        <v>Confirm if  FPA approved the PR</v>
      </c>
      <c r="I138" s="26"/>
      <c r="J138" s="26"/>
      <c r="K138" s="22"/>
      <c r="L138" s="22"/>
      <c r="M138" s="22"/>
      <c r="N138" s="22"/>
      <c r="O138" s="22"/>
      <c r="P138" s="35"/>
      <c r="Q138" s="22"/>
      <c r="R138" s="22"/>
      <c r="S138" s="166" t="s">
        <v>209</v>
      </c>
    </row>
    <row r="139" spans="1:19" ht="63.95">
      <c r="A139" s="207"/>
      <c r="B139" s="21"/>
      <c r="C139" s="29" t="s">
        <v>426</v>
      </c>
      <c r="D139" s="35" t="s">
        <v>368</v>
      </c>
      <c r="E139" s="22" t="s">
        <v>20</v>
      </c>
      <c r="F139" s="31" t="s">
        <v>427</v>
      </c>
      <c r="G139" s="25" t="str">
        <f t="shared" si="17"/>
        <v>Corporate Controller will approve the PR</v>
      </c>
      <c r="H139" s="26" t="str">
        <f t="shared" si="18"/>
        <v>Confirm if Corporate Controller approved the PR</v>
      </c>
      <c r="I139" s="26"/>
      <c r="J139" s="26"/>
      <c r="K139" s="22"/>
      <c r="L139" s="22"/>
      <c r="M139" s="22"/>
      <c r="N139" s="22"/>
      <c r="O139" s="22"/>
      <c r="P139" s="35"/>
      <c r="Q139" s="22"/>
      <c r="R139" s="22"/>
      <c r="S139" s="166" t="s">
        <v>209</v>
      </c>
    </row>
    <row r="140" spans="1:19" ht="63.95">
      <c r="A140" s="207"/>
      <c r="B140" s="21"/>
      <c r="C140" s="29" t="s">
        <v>428</v>
      </c>
      <c r="D140" s="35" t="s">
        <v>429</v>
      </c>
      <c r="E140" s="22" t="s">
        <v>20</v>
      </c>
      <c r="F140" s="31" t="s">
        <v>430</v>
      </c>
      <c r="G140" s="25" t="str">
        <f>_xlfn.CONCAT(D140, " will approve the PR")</f>
        <v>Corporate Controller &amp; CFO will approve the PR</v>
      </c>
      <c r="H140" s="26" t="str">
        <f t="shared" si="18"/>
        <v>Confirm if Corporate Controller &amp; CFO approved the PR</v>
      </c>
      <c r="I140" s="26"/>
      <c r="J140" s="26"/>
      <c r="K140" s="22"/>
      <c r="L140" s="22"/>
      <c r="M140" s="22"/>
      <c r="N140" s="22"/>
      <c r="O140" s="22"/>
      <c r="P140" s="35"/>
      <c r="Q140" s="22"/>
      <c r="R140" s="22"/>
      <c r="S140" s="166" t="s">
        <v>209</v>
      </c>
    </row>
    <row r="141" spans="1:19" ht="63.95">
      <c r="A141" s="207"/>
      <c r="B141" s="21"/>
      <c r="C141" s="29" t="s">
        <v>428</v>
      </c>
      <c r="D141" s="35" t="s">
        <v>431</v>
      </c>
      <c r="E141" s="22" t="s">
        <v>20</v>
      </c>
      <c r="F141" s="31" t="s">
        <v>432</v>
      </c>
      <c r="G141" s="25" t="str">
        <f t="shared" si="17"/>
        <v>COO &amp; CFO will approve the PR</v>
      </c>
      <c r="H141" s="26" t="str">
        <f t="shared" si="18"/>
        <v>Confirm if COO &amp; CFO approved the PR</v>
      </c>
      <c r="I141" s="26"/>
      <c r="J141" s="26"/>
      <c r="K141" s="22"/>
      <c r="L141" s="22"/>
      <c r="M141" s="22"/>
      <c r="N141" s="22"/>
      <c r="O141" s="22"/>
      <c r="P141" s="35"/>
      <c r="Q141" s="22"/>
      <c r="R141" s="22"/>
      <c r="S141" s="166" t="s">
        <v>209</v>
      </c>
    </row>
    <row r="142" spans="1:19" ht="63.95">
      <c r="A142" s="207"/>
      <c r="B142" s="21"/>
      <c r="C142" s="29" t="s">
        <v>426</v>
      </c>
      <c r="D142" s="35" t="s">
        <v>433</v>
      </c>
      <c r="E142" s="22" t="s">
        <v>20</v>
      </c>
      <c r="F142" s="31" t="s">
        <v>434</v>
      </c>
      <c r="G142" s="25" t="str">
        <f t="shared" si="17"/>
        <v>COO will approve the PR</v>
      </c>
      <c r="H142" s="26" t="str">
        <f t="shared" si="18"/>
        <v>Confirm if COO approved the PR</v>
      </c>
      <c r="I142" s="26"/>
      <c r="J142" s="26"/>
      <c r="K142" s="22"/>
      <c r="L142" s="22"/>
      <c r="M142" s="22"/>
      <c r="N142" s="22"/>
      <c r="O142" s="22"/>
      <c r="P142" s="35"/>
      <c r="Q142" s="22"/>
      <c r="R142" s="22"/>
      <c r="S142" s="166" t="s">
        <v>209</v>
      </c>
    </row>
    <row r="143" spans="1:19" ht="63.95">
      <c r="A143" s="207"/>
      <c r="B143" s="21"/>
      <c r="C143" s="29" t="s">
        <v>435</v>
      </c>
      <c r="D143" s="35" t="s">
        <v>436</v>
      </c>
      <c r="E143" s="22" t="s">
        <v>20</v>
      </c>
      <c r="F143" s="31" t="s">
        <v>437</v>
      </c>
      <c r="G143" s="25" t="str">
        <f t="shared" si="17"/>
        <v xml:space="preserve"> FPA, Corporate Controller &amp; CFO will approve the PR</v>
      </c>
      <c r="H143" s="26" t="str">
        <f t="shared" si="18"/>
        <v>Confirm if  FPA, Corporate Controller &amp; CFO approved the PR</v>
      </c>
      <c r="I143" s="26"/>
      <c r="J143" s="26"/>
      <c r="K143" s="22"/>
      <c r="L143" s="22"/>
      <c r="M143" s="22"/>
      <c r="N143" s="22"/>
      <c r="O143" s="22"/>
      <c r="P143" s="35"/>
      <c r="Q143" s="22"/>
      <c r="R143" s="22"/>
      <c r="S143" s="166" t="s">
        <v>209</v>
      </c>
    </row>
    <row r="144" spans="1:19" ht="63.95">
      <c r="A144" s="207"/>
      <c r="B144" s="21"/>
      <c r="C144" s="29" t="s">
        <v>438</v>
      </c>
      <c r="D144" s="35" t="s">
        <v>439</v>
      </c>
      <c r="E144" s="22" t="s">
        <v>20</v>
      </c>
      <c r="F144" s="31" t="s">
        <v>440</v>
      </c>
      <c r="G144" s="25" t="str">
        <f t="shared" si="17"/>
        <v>FPA &amp; Corporate Controller will approve the PR</v>
      </c>
      <c r="H144" s="26" t="str">
        <f t="shared" si="18"/>
        <v>Confirm if FPA &amp; Corporate Controller approved the PR</v>
      </c>
      <c r="I144" s="26"/>
      <c r="J144" s="26"/>
      <c r="K144" s="22"/>
      <c r="L144" s="22"/>
      <c r="M144" s="22"/>
      <c r="N144" s="22"/>
      <c r="O144" s="22"/>
      <c r="P144" s="35"/>
      <c r="Q144" s="22"/>
      <c r="R144" s="22"/>
      <c r="S144" s="166" t="s">
        <v>209</v>
      </c>
    </row>
    <row r="145" spans="1:19" ht="63.95">
      <c r="A145" s="207"/>
      <c r="B145" s="21"/>
      <c r="C145" s="29" t="s">
        <v>435</v>
      </c>
      <c r="D145" s="35" t="s">
        <v>441</v>
      </c>
      <c r="E145" s="22" t="s">
        <v>20</v>
      </c>
      <c r="F145" s="31" t="s">
        <v>442</v>
      </c>
      <c r="G145" s="25" t="str">
        <f t="shared" si="17"/>
        <v>FPA, COO, &amp; CFO will approve the PR</v>
      </c>
      <c r="H145" s="26" t="str">
        <f t="shared" si="18"/>
        <v>Confirm if FPA, COO, &amp; CFO approved the PR</v>
      </c>
      <c r="I145" s="26"/>
      <c r="J145" s="26"/>
      <c r="K145" s="22"/>
      <c r="L145" s="22"/>
      <c r="M145" s="22"/>
      <c r="N145" s="22"/>
      <c r="O145" s="22"/>
      <c r="P145" s="35"/>
      <c r="Q145" s="22"/>
      <c r="R145" s="22"/>
      <c r="S145" s="166" t="s">
        <v>209</v>
      </c>
    </row>
    <row r="146" spans="1:19" ht="63.95">
      <c r="A146" s="208"/>
      <c r="B146" s="21"/>
      <c r="C146" s="29" t="s">
        <v>438</v>
      </c>
      <c r="D146" s="35" t="s">
        <v>443</v>
      </c>
      <c r="E146" s="22" t="s">
        <v>20</v>
      </c>
      <c r="F146" s="31" t="s">
        <v>444</v>
      </c>
      <c r="G146" s="25" t="str">
        <f t="shared" si="17"/>
        <v>FPA &amp; COO will approve the PR</v>
      </c>
      <c r="H146" s="26" t="str">
        <f t="shared" si="18"/>
        <v>Confirm if FPA &amp; COO approved the PR</v>
      </c>
      <c r="I146" s="26"/>
      <c r="J146" s="26"/>
      <c r="K146" s="22"/>
      <c r="L146" s="22"/>
      <c r="M146" s="22"/>
      <c r="N146" s="22"/>
      <c r="O146" s="22"/>
      <c r="P146" s="35"/>
      <c r="Q146" s="22"/>
      <c r="R146" s="22"/>
      <c r="S146" s="166" t="s">
        <v>209</v>
      </c>
    </row>
    <row r="147" spans="1:19">
      <c r="A147" s="209" t="s">
        <v>445</v>
      </c>
      <c r="B147" s="219"/>
      <c r="C147" s="219"/>
      <c r="D147" s="219"/>
      <c r="E147" s="219"/>
      <c r="F147" s="219"/>
      <c r="G147" s="219"/>
      <c r="H147" s="219"/>
      <c r="I147" s="219"/>
      <c r="J147" s="219"/>
      <c r="K147" s="219"/>
      <c r="L147" s="219"/>
      <c r="M147" s="219"/>
      <c r="N147" s="219"/>
      <c r="O147" s="219"/>
      <c r="P147" s="219"/>
      <c r="Q147" s="219"/>
      <c r="R147" s="219"/>
      <c r="S147" s="220"/>
    </row>
    <row r="148" spans="1:19" ht="32.1">
      <c r="A148" s="206" t="s">
        <v>446</v>
      </c>
      <c r="B148" s="206"/>
      <c r="C148" s="234" t="s">
        <v>294</v>
      </c>
      <c r="D148" s="227" t="s">
        <v>295</v>
      </c>
      <c r="E148" s="22" t="s">
        <v>20</v>
      </c>
      <c r="F148" s="234" t="s">
        <v>294</v>
      </c>
      <c r="G148" s="25" t="s">
        <v>296</v>
      </c>
      <c r="H148" s="26" t="s">
        <v>297</v>
      </c>
      <c r="I148" s="26"/>
      <c r="J148" s="26"/>
      <c r="K148" s="22"/>
      <c r="L148" s="22"/>
      <c r="M148" s="22"/>
      <c r="N148" s="22"/>
      <c r="O148" s="22"/>
      <c r="P148" s="35"/>
      <c r="Q148" s="22"/>
      <c r="R148" s="22"/>
      <c r="S148" s="166" t="s">
        <v>209</v>
      </c>
    </row>
    <row r="149" spans="1:19">
      <c r="A149" s="207"/>
      <c r="B149" s="207"/>
      <c r="C149" s="242"/>
      <c r="D149" s="228"/>
      <c r="E149" s="22" t="s">
        <v>109</v>
      </c>
      <c r="F149" s="242"/>
      <c r="G149" s="25" t="s">
        <v>298</v>
      </c>
      <c r="H149" s="26" t="s">
        <v>299</v>
      </c>
      <c r="I149" s="26"/>
      <c r="J149" s="26"/>
      <c r="K149" s="22"/>
      <c r="L149" s="22"/>
      <c r="M149" s="22"/>
      <c r="N149" s="22"/>
      <c r="O149" s="22"/>
      <c r="P149" s="35"/>
      <c r="Q149" s="22"/>
      <c r="R149" s="22"/>
      <c r="S149" s="166" t="s">
        <v>209</v>
      </c>
    </row>
    <row r="150" spans="1:19">
      <c r="A150" s="207"/>
      <c r="B150" s="207"/>
      <c r="C150" s="242"/>
      <c r="D150" s="228"/>
      <c r="E150" s="51" t="s">
        <v>167</v>
      </c>
      <c r="F150" s="242"/>
      <c r="G150" s="79" t="s">
        <v>300</v>
      </c>
      <c r="H150" s="80" t="s">
        <v>301</v>
      </c>
      <c r="I150" s="80"/>
      <c r="J150" s="80"/>
      <c r="K150" s="51"/>
      <c r="L150" s="51"/>
      <c r="M150" s="51"/>
      <c r="N150" s="51"/>
      <c r="O150" s="51"/>
      <c r="P150" s="47"/>
      <c r="Q150" s="51"/>
      <c r="R150" s="51"/>
      <c r="S150" s="166" t="s">
        <v>209</v>
      </c>
    </row>
    <row r="151" spans="1:19" ht="32.1">
      <c r="A151" s="208"/>
      <c r="B151" s="208"/>
      <c r="C151" s="235"/>
      <c r="D151" s="248"/>
      <c r="E151" s="22" t="s">
        <v>170</v>
      </c>
      <c r="F151" s="243"/>
      <c r="G151" s="25" t="s">
        <v>302</v>
      </c>
      <c r="H151" s="26" t="s">
        <v>303</v>
      </c>
      <c r="I151" s="26"/>
      <c r="J151" s="26"/>
      <c r="K151" s="22"/>
      <c r="L151" s="22"/>
      <c r="M151" s="22"/>
      <c r="N151" s="22"/>
      <c r="O151" s="22"/>
      <c r="P151" s="35"/>
      <c r="Q151" s="22"/>
      <c r="R151" s="22"/>
      <c r="S151" s="166" t="s">
        <v>209</v>
      </c>
    </row>
    <row r="152" spans="1:19">
      <c r="A152" s="209" t="s">
        <v>447</v>
      </c>
      <c r="B152" s="210"/>
      <c r="C152" s="210"/>
      <c r="D152" s="210"/>
      <c r="E152" s="210"/>
      <c r="F152" s="210"/>
      <c r="G152" s="210"/>
      <c r="H152" s="210"/>
      <c r="I152" s="210"/>
      <c r="J152" s="210"/>
      <c r="K152" s="210"/>
      <c r="L152" s="210"/>
      <c r="M152" s="210"/>
      <c r="N152" s="210"/>
      <c r="O152" s="210"/>
      <c r="P152" s="210"/>
      <c r="Q152" s="210"/>
      <c r="R152" s="210"/>
      <c r="S152" s="214"/>
    </row>
    <row r="153" spans="1:19" ht="32.1">
      <c r="A153" s="206" t="s">
        <v>448</v>
      </c>
      <c r="B153" s="206"/>
      <c r="C153" s="206" t="s">
        <v>305</v>
      </c>
      <c r="D153" s="35" t="s">
        <v>449</v>
      </c>
      <c r="E153" s="22" t="s">
        <v>20</v>
      </c>
      <c r="F153" s="234" t="s">
        <v>305</v>
      </c>
      <c r="G153" s="25" t="s">
        <v>450</v>
      </c>
      <c r="H153" s="26" t="s">
        <v>451</v>
      </c>
      <c r="I153" s="26"/>
      <c r="J153" s="26"/>
      <c r="K153" s="22"/>
      <c r="L153" s="22"/>
      <c r="M153" s="22"/>
      <c r="N153" s="22"/>
      <c r="O153" s="22"/>
      <c r="P153" s="35"/>
      <c r="Q153" s="22"/>
      <c r="R153" s="22"/>
      <c r="S153" s="166" t="s">
        <v>209</v>
      </c>
    </row>
    <row r="154" spans="1:19" ht="32.1">
      <c r="A154" s="208"/>
      <c r="B154" s="208"/>
      <c r="C154" s="208"/>
      <c r="D154" s="35" t="s">
        <v>449</v>
      </c>
      <c r="E154" s="22"/>
      <c r="F154" s="235"/>
      <c r="G154" s="25" t="s">
        <v>308</v>
      </c>
      <c r="H154" s="26" t="s">
        <v>309</v>
      </c>
      <c r="I154" s="26"/>
      <c r="J154" s="26"/>
      <c r="K154" s="22"/>
      <c r="L154" s="22"/>
      <c r="M154" s="22"/>
      <c r="N154" s="22"/>
      <c r="O154" s="22"/>
      <c r="P154" s="35"/>
      <c r="Q154" s="22"/>
      <c r="R154" s="22"/>
      <c r="S154" s="166" t="s">
        <v>209</v>
      </c>
    </row>
    <row r="155" spans="1:19">
      <c r="A155" s="224" t="s">
        <v>452</v>
      </c>
      <c r="B155" s="244"/>
      <c r="C155" s="244"/>
      <c r="D155" s="244"/>
      <c r="E155" s="244"/>
      <c r="F155" s="244"/>
      <c r="G155" s="244"/>
      <c r="H155" s="244"/>
      <c r="I155" s="244"/>
      <c r="J155" s="244"/>
      <c r="K155" s="244"/>
      <c r="L155" s="244"/>
      <c r="M155" s="244"/>
      <c r="N155" s="244"/>
      <c r="O155" s="244"/>
      <c r="P155" s="244"/>
      <c r="Q155" s="244"/>
      <c r="R155" s="244"/>
      <c r="S155" s="245"/>
    </row>
    <row r="156" spans="1:19" ht="32.1">
      <c r="A156" s="206" t="s">
        <v>453</v>
      </c>
      <c r="B156" s="206"/>
      <c r="C156" s="234" t="s">
        <v>312</v>
      </c>
      <c r="D156" s="227" t="s">
        <v>454</v>
      </c>
      <c r="E156" s="22" t="s">
        <v>20</v>
      </c>
      <c r="F156" s="234" t="s">
        <v>312</v>
      </c>
      <c r="G156" s="178" t="s">
        <v>314</v>
      </c>
      <c r="H156" s="179" t="s">
        <v>315</v>
      </c>
      <c r="I156" s="26"/>
      <c r="J156" s="26"/>
      <c r="K156" s="22"/>
      <c r="L156" s="22"/>
      <c r="M156" s="22"/>
      <c r="N156" s="22"/>
      <c r="O156" s="22"/>
      <c r="P156" s="35"/>
      <c r="Q156" s="22"/>
      <c r="R156" s="22"/>
      <c r="S156" s="166" t="s">
        <v>209</v>
      </c>
    </row>
    <row r="157" spans="1:19" ht="32.1">
      <c r="A157" s="207"/>
      <c r="B157" s="207"/>
      <c r="C157" s="242"/>
      <c r="D157" s="228"/>
      <c r="E157" s="22" t="s">
        <v>109</v>
      </c>
      <c r="F157" s="242"/>
      <c r="G157" s="180" t="s">
        <v>316</v>
      </c>
      <c r="H157" s="181" t="s">
        <v>315</v>
      </c>
      <c r="I157" s="26"/>
      <c r="J157" s="26"/>
      <c r="K157" s="22"/>
      <c r="L157" s="22"/>
      <c r="M157" s="22"/>
      <c r="N157" s="22"/>
      <c r="O157" s="22"/>
      <c r="P157" s="35"/>
      <c r="Q157" s="22"/>
      <c r="R157" s="22"/>
      <c r="S157" s="166" t="s">
        <v>209</v>
      </c>
    </row>
    <row r="158" spans="1:19" ht="48">
      <c r="A158" s="207"/>
      <c r="B158" s="207"/>
      <c r="C158" s="242"/>
      <c r="D158" s="228"/>
      <c r="E158" s="22" t="s">
        <v>167</v>
      </c>
      <c r="F158" s="242"/>
      <c r="G158" s="180" t="s">
        <v>317</v>
      </c>
      <c r="H158" s="181" t="s">
        <v>318</v>
      </c>
      <c r="I158" s="26"/>
      <c r="J158" s="26"/>
      <c r="K158" s="22"/>
      <c r="L158" s="22"/>
      <c r="M158" s="22"/>
      <c r="N158" s="22"/>
      <c r="O158" s="22"/>
      <c r="P158" s="35"/>
      <c r="Q158" s="22"/>
      <c r="R158" s="22"/>
      <c r="S158" s="166" t="s">
        <v>209</v>
      </c>
    </row>
    <row r="159" spans="1:19" ht="32.1">
      <c r="A159" s="208"/>
      <c r="B159" s="208"/>
      <c r="C159" s="235"/>
      <c r="D159" s="229"/>
      <c r="E159" s="22" t="s">
        <v>170</v>
      </c>
      <c r="F159" s="235"/>
      <c r="G159" s="180" t="s">
        <v>319</v>
      </c>
      <c r="H159" s="181" t="s">
        <v>315</v>
      </c>
      <c r="I159" s="26"/>
      <c r="J159" s="26"/>
      <c r="K159" s="22"/>
      <c r="L159" s="22"/>
      <c r="M159" s="22"/>
      <c r="N159" s="22"/>
      <c r="O159" s="22"/>
      <c r="P159" s="35"/>
      <c r="Q159" s="22"/>
      <c r="R159" s="22"/>
      <c r="S159" s="166" t="s">
        <v>209</v>
      </c>
    </row>
    <row r="160" spans="1:19">
      <c r="A160" s="215" t="s">
        <v>15</v>
      </c>
      <c r="B160" s="216"/>
      <c r="C160" s="216"/>
      <c r="D160" s="216"/>
      <c r="E160" s="216"/>
      <c r="F160" s="216"/>
      <c r="G160" s="216"/>
      <c r="H160" s="216"/>
      <c r="I160" s="216"/>
      <c r="J160" s="216"/>
      <c r="K160" s="216"/>
      <c r="L160" s="216"/>
      <c r="M160" s="216"/>
      <c r="N160" s="216"/>
      <c r="O160" s="216"/>
      <c r="P160" s="216"/>
      <c r="Q160" s="216"/>
      <c r="R160" s="216"/>
      <c r="S160" s="214"/>
    </row>
    <row r="161" spans="1:19" ht="32.1">
      <c r="A161" s="213" t="s">
        <v>455</v>
      </c>
      <c r="B161" s="206">
        <v>5</v>
      </c>
      <c r="C161" s="213" t="s">
        <v>456</v>
      </c>
      <c r="D161" s="232" t="s">
        <v>187</v>
      </c>
      <c r="E161" s="22" t="s">
        <v>20</v>
      </c>
      <c r="F161" s="233" t="s">
        <v>457</v>
      </c>
      <c r="G161" s="25" t="s">
        <v>458</v>
      </c>
      <c r="H161" s="26" t="s">
        <v>459</v>
      </c>
      <c r="I161" s="31" t="s">
        <v>460</v>
      </c>
      <c r="J161" s="26"/>
      <c r="K161" s="22"/>
      <c r="L161" s="22"/>
      <c r="M161" s="22"/>
      <c r="N161" s="22"/>
      <c r="O161" s="22"/>
      <c r="P161" s="35"/>
      <c r="Q161" s="22"/>
      <c r="R161" s="22"/>
      <c r="S161" s="22" t="s">
        <v>164</v>
      </c>
    </row>
    <row r="162" spans="1:19" ht="32.1">
      <c r="A162" s="213"/>
      <c r="B162" s="207"/>
      <c r="C162" s="213"/>
      <c r="D162" s="232"/>
      <c r="E162" s="22" t="s">
        <v>109</v>
      </c>
      <c r="F162" s="233"/>
      <c r="G162" s="25" t="s">
        <v>461</v>
      </c>
      <c r="H162" s="26"/>
      <c r="I162" s="31" t="s">
        <v>462</v>
      </c>
      <c r="J162" s="26"/>
      <c r="K162" s="22"/>
      <c r="L162" s="22"/>
      <c r="M162" s="22"/>
      <c r="N162" s="22"/>
      <c r="O162" s="22"/>
      <c r="P162" s="35"/>
      <c r="Q162" s="22"/>
      <c r="R162" s="22"/>
      <c r="S162" s="22" t="s">
        <v>164</v>
      </c>
    </row>
    <row r="163" spans="1:19" ht="48">
      <c r="A163" s="213"/>
      <c r="B163" s="207"/>
      <c r="C163" s="213"/>
      <c r="D163" s="232"/>
      <c r="E163" s="22" t="s">
        <v>167</v>
      </c>
      <c r="F163" s="233"/>
      <c r="G163" s="28" t="s">
        <v>463</v>
      </c>
      <c r="H163" s="26" t="s">
        <v>464</v>
      </c>
      <c r="I163" s="31" t="s">
        <v>465</v>
      </c>
      <c r="J163" s="26"/>
      <c r="K163" s="22"/>
      <c r="L163" s="22"/>
      <c r="M163" s="22"/>
      <c r="N163" s="22"/>
      <c r="O163" s="22"/>
      <c r="P163" s="35"/>
      <c r="Q163" s="22"/>
      <c r="R163" s="22"/>
      <c r="S163" s="22" t="s">
        <v>164</v>
      </c>
    </row>
    <row r="164" spans="1:19">
      <c r="A164" s="213"/>
      <c r="B164" s="207"/>
      <c r="C164" s="213"/>
      <c r="D164" s="232"/>
      <c r="E164" s="22" t="s">
        <v>170</v>
      </c>
      <c r="F164" s="233"/>
      <c r="G164" s="25" t="s">
        <v>466</v>
      </c>
      <c r="H164" s="26" t="s">
        <v>467</v>
      </c>
      <c r="I164" s="31" t="s">
        <v>468</v>
      </c>
      <c r="J164" s="26"/>
      <c r="K164" s="22"/>
      <c r="L164" s="22"/>
      <c r="M164" s="22"/>
      <c r="N164" s="22"/>
      <c r="O164" s="22"/>
      <c r="P164" s="35"/>
      <c r="Q164" s="22"/>
      <c r="R164" s="22"/>
      <c r="S164" s="22" t="s">
        <v>164</v>
      </c>
    </row>
    <row r="165" spans="1:19" ht="48">
      <c r="A165" s="213"/>
      <c r="B165" s="207"/>
      <c r="C165" s="213"/>
      <c r="D165" s="232"/>
      <c r="E165" s="22" t="s">
        <v>173</v>
      </c>
      <c r="F165" s="233"/>
      <c r="G165" s="25" t="s">
        <v>469</v>
      </c>
      <c r="H165" s="26" t="s">
        <v>470</v>
      </c>
      <c r="I165" s="31" t="s">
        <v>471</v>
      </c>
      <c r="J165" s="26"/>
      <c r="K165" s="22"/>
      <c r="L165" s="22"/>
      <c r="M165" s="22"/>
      <c r="N165" s="22"/>
      <c r="O165" s="22"/>
      <c r="P165" s="35"/>
      <c r="Q165" s="22"/>
      <c r="R165" s="22"/>
      <c r="S165" s="22" t="s">
        <v>164</v>
      </c>
    </row>
    <row r="166" spans="1:19" ht="32.1">
      <c r="A166" s="213"/>
      <c r="B166" s="207"/>
      <c r="C166" s="213"/>
      <c r="D166" s="232"/>
      <c r="E166" s="22" t="s">
        <v>176</v>
      </c>
      <c r="F166" s="233"/>
      <c r="G166" s="25" t="s">
        <v>472</v>
      </c>
      <c r="H166" s="26" t="s">
        <v>473</v>
      </c>
      <c r="I166" s="31" t="s">
        <v>474</v>
      </c>
      <c r="J166" s="26"/>
      <c r="K166" s="22"/>
      <c r="L166" s="22"/>
      <c r="M166" s="22"/>
      <c r="N166" s="22"/>
      <c r="O166" s="22"/>
      <c r="P166" s="35"/>
      <c r="Q166" s="22"/>
      <c r="R166" s="22"/>
      <c r="S166" s="22" t="s">
        <v>164</v>
      </c>
    </row>
    <row r="167" spans="1:19">
      <c r="A167" s="213" t="s">
        <v>475</v>
      </c>
      <c r="B167" s="207"/>
      <c r="C167" s="213"/>
      <c r="D167" s="232" t="s">
        <v>227</v>
      </c>
      <c r="E167" s="22" t="s">
        <v>20</v>
      </c>
      <c r="F167" s="233" t="s">
        <v>476</v>
      </c>
      <c r="G167" s="25" t="s">
        <v>477</v>
      </c>
      <c r="H167" s="26"/>
      <c r="I167" s="31"/>
      <c r="J167" s="26"/>
      <c r="K167" s="22"/>
      <c r="L167" s="22"/>
      <c r="M167" s="22"/>
      <c r="N167" s="22"/>
      <c r="O167" s="22"/>
      <c r="P167" s="35"/>
      <c r="Q167" s="22"/>
      <c r="R167" s="22"/>
      <c r="S167" s="22" t="s">
        <v>209</v>
      </c>
    </row>
    <row r="168" spans="1:19" ht="63.95">
      <c r="A168" s="213"/>
      <c r="B168" s="207"/>
      <c r="C168" s="213"/>
      <c r="D168" s="232"/>
      <c r="E168" s="22" t="s">
        <v>109</v>
      </c>
      <c r="F168" s="233"/>
      <c r="G168" s="28" t="s">
        <v>478</v>
      </c>
      <c r="H168" s="26" t="s">
        <v>464</v>
      </c>
      <c r="I168" s="31"/>
      <c r="J168" s="26"/>
      <c r="K168" s="22"/>
      <c r="L168" s="22"/>
      <c r="M168" s="22"/>
      <c r="N168" s="22"/>
      <c r="O168" s="22"/>
      <c r="P168" s="35"/>
      <c r="Q168" s="22"/>
      <c r="R168" s="22"/>
      <c r="S168" s="22" t="s">
        <v>209</v>
      </c>
    </row>
    <row r="169" spans="1:19" ht="48">
      <c r="A169" s="213"/>
      <c r="B169" s="208"/>
      <c r="C169" s="213"/>
      <c r="D169" s="232"/>
      <c r="E169" s="22" t="s">
        <v>167</v>
      </c>
      <c r="F169" s="233"/>
      <c r="G169" s="55" t="s">
        <v>479</v>
      </c>
      <c r="H169" s="26" t="s">
        <v>480</v>
      </c>
      <c r="I169" s="31"/>
      <c r="J169" s="26"/>
      <c r="K169" s="22"/>
      <c r="L169" s="22"/>
      <c r="M169" s="22"/>
      <c r="N169" s="22"/>
      <c r="O169" s="22"/>
      <c r="P169" s="35"/>
      <c r="Q169" s="22"/>
      <c r="R169" s="22"/>
      <c r="S169" s="22" t="s">
        <v>209</v>
      </c>
    </row>
    <row r="170" spans="1:19">
      <c r="A170" s="215" t="s">
        <v>481</v>
      </c>
      <c r="B170" s="216"/>
      <c r="C170" s="216"/>
      <c r="D170" s="216"/>
      <c r="E170" s="216"/>
      <c r="F170" s="216"/>
      <c r="G170" s="216"/>
      <c r="H170" s="216"/>
      <c r="I170" s="216"/>
      <c r="J170" s="216"/>
      <c r="K170" s="216"/>
      <c r="L170" s="216"/>
      <c r="M170" s="216"/>
      <c r="N170" s="216"/>
      <c r="O170" s="216"/>
      <c r="P170" s="216"/>
      <c r="Q170" s="216"/>
      <c r="R170" s="216"/>
      <c r="S170" s="214"/>
    </row>
    <row r="171" spans="1:19">
      <c r="A171" s="213" t="s">
        <v>482</v>
      </c>
      <c r="B171" s="206">
        <v>6</v>
      </c>
      <c r="C171" s="230" t="s">
        <v>483</v>
      </c>
      <c r="D171" s="232" t="s">
        <v>227</v>
      </c>
      <c r="E171" s="22" t="s">
        <v>20</v>
      </c>
      <c r="F171" s="233" t="s">
        <v>484</v>
      </c>
      <c r="G171" s="25" t="s">
        <v>485</v>
      </c>
      <c r="H171" s="26" t="s">
        <v>486</v>
      </c>
      <c r="I171" s="31"/>
      <c r="J171" s="26"/>
      <c r="K171" s="22"/>
      <c r="L171" s="22"/>
      <c r="M171" s="22"/>
      <c r="N171" s="22"/>
      <c r="O171" s="22"/>
      <c r="P171" s="35"/>
      <c r="Q171" s="22"/>
      <c r="R171" s="22"/>
      <c r="S171" s="22" t="s">
        <v>209</v>
      </c>
    </row>
    <row r="172" spans="1:19" ht="63.95">
      <c r="A172" s="213"/>
      <c r="B172" s="207"/>
      <c r="C172" s="230"/>
      <c r="D172" s="232"/>
      <c r="E172" s="22" t="s">
        <v>109</v>
      </c>
      <c r="F172" s="233"/>
      <c r="G172" s="28" t="s">
        <v>487</v>
      </c>
      <c r="H172" s="26" t="s">
        <v>488</v>
      </c>
      <c r="I172" s="31"/>
      <c r="J172" s="26"/>
      <c r="K172" s="22"/>
      <c r="L172" s="22"/>
      <c r="M172" s="22"/>
      <c r="N172" s="22"/>
      <c r="O172" s="22"/>
      <c r="P172" s="150"/>
      <c r="Q172" s="22"/>
      <c r="R172" s="22"/>
      <c r="S172" s="22" t="s">
        <v>209</v>
      </c>
    </row>
    <row r="173" spans="1:19" ht="48">
      <c r="A173" s="206"/>
      <c r="B173" s="208"/>
      <c r="C173" s="231"/>
      <c r="D173" s="47" t="s">
        <v>489</v>
      </c>
      <c r="E173" s="51" t="s">
        <v>167</v>
      </c>
      <c r="F173" s="234"/>
      <c r="G173" s="79" t="s">
        <v>490</v>
      </c>
      <c r="H173" s="80" t="s">
        <v>491</v>
      </c>
      <c r="I173" s="80"/>
      <c r="J173" s="80"/>
      <c r="K173" s="51"/>
      <c r="L173" s="51"/>
      <c r="M173" s="51"/>
      <c r="N173" s="51"/>
      <c r="O173" s="51"/>
      <c r="P173" s="47"/>
      <c r="Q173" s="51"/>
      <c r="R173" s="51"/>
      <c r="S173" s="51" t="s">
        <v>164</v>
      </c>
    </row>
    <row r="174" spans="1:19">
      <c r="A174" s="269" t="s">
        <v>492</v>
      </c>
      <c r="B174" s="269"/>
      <c r="C174" s="269"/>
      <c r="D174" s="269"/>
      <c r="E174" s="269"/>
      <c r="F174" s="269"/>
      <c r="G174" s="269"/>
      <c r="H174" s="269"/>
      <c r="I174" s="269"/>
      <c r="J174" s="269"/>
      <c r="K174" s="269"/>
      <c r="L174" s="269"/>
      <c r="M174" s="269"/>
      <c r="N174" s="269"/>
      <c r="O174" s="269"/>
      <c r="P174" s="269"/>
      <c r="Q174" s="269"/>
      <c r="R174" s="269"/>
      <c r="S174" s="205"/>
    </row>
    <row r="175" spans="1:19" ht="63.95">
      <c r="A175" s="207" t="s">
        <v>493</v>
      </c>
      <c r="B175" s="206"/>
      <c r="C175" s="242" t="s">
        <v>494</v>
      </c>
      <c r="D175" s="228" t="s">
        <v>489</v>
      </c>
      <c r="E175" s="52" t="s">
        <v>20</v>
      </c>
      <c r="F175" s="242" t="s">
        <v>494</v>
      </c>
      <c r="G175" s="94" t="s">
        <v>495</v>
      </c>
      <c r="H175" s="94" t="s">
        <v>496</v>
      </c>
      <c r="I175" s="94"/>
      <c r="J175" s="94"/>
      <c r="K175" s="52"/>
      <c r="L175" s="52"/>
      <c r="M175" s="52"/>
      <c r="N175" s="52"/>
      <c r="O175" s="52"/>
      <c r="P175" s="97"/>
      <c r="Q175" s="52"/>
      <c r="R175" s="52"/>
      <c r="S175" s="52" t="s">
        <v>209</v>
      </c>
    </row>
    <row r="176" spans="1:19" ht="32.1">
      <c r="A176" s="208"/>
      <c r="B176" s="208"/>
      <c r="C176" s="235"/>
      <c r="D176" s="229"/>
      <c r="E176" s="22" t="s">
        <v>109</v>
      </c>
      <c r="F176" s="235"/>
      <c r="G176" s="26" t="s">
        <v>497</v>
      </c>
      <c r="H176" s="26" t="s">
        <v>498</v>
      </c>
      <c r="I176" s="26"/>
      <c r="J176" s="26"/>
      <c r="K176" s="22"/>
      <c r="L176" s="22"/>
      <c r="M176" s="22"/>
      <c r="N176" s="22"/>
      <c r="O176" s="22"/>
      <c r="P176" s="35"/>
      <c r="Q176" s="22"/>
      <c r="R176" s="22"/>
      <c r="S176" s="22" t="s">
        <v>209</v>
      </c>
    </row>
    <row r="177" spans="1:19">
      <c r="A177" s="267" t="s">
        <v>499</v>
      </c>
      <c r="B177" s="268"/>
      <c r="C177" s="268"/>
      <c r="D177" s="268"/>
      <c r="E177" s="268"/>
      <c r="F177" s="268"/>
      <c r="G177" s="268"/>
      <c r="H177" s="268"/>
      <c r="I177" s="268"/>
      <c r="J177" s="268"/>
      <c r="K177" s="268"/>
      <c r="L177" s="268"/>
      <c r="M177" s="268"/>
      <c r="N177" s="268"/>
      <c r="O177" s="268"/>
      <c r="P177" s="268"/>
      <c r="Q177" s="268"/>
      <c r="R177" s="268"/>
      <c r="S177" s="226"/>
    </row>
    <row r="178" spans="1:19">
      <c r="A178" s="209" t="s">
        <v>500</v>
      </c>
      <c r="B178" s="210"/>
      <c r="C178" s="210"/>
      <c r="D178" s="210"/>
      <c r="E178" s="210"/>
      <c r="F178" s="210"/>
      <c r="G178" s="210"/>
      <c r="H178" s="210"/>
      <c r="I178" s="210"/>
      <c r="J178" s="210"/>
      <c r="K178" s="210"/>
      <c r="L178" s="210"/>
      <c r="M178" s="210"/>
      <c r="N178" s="210"/>
      <c r="O178" s="210"/>
      <c r="P178" s="210"/>
      <c r="Q178" s="210"/>
      <c r="R178" s="210"/>
      <c r="S178" s="214"/>
    </row>
    <row r="179" spans="1:19">
      <c r="A179" s="213" t="s">
        <v>501</v>
      </c>
      <c r="B179" s="206">
        <v>8</v>
      </c>
      <c r="C179" s="230" t="s">
        <v>502</v>
      </c>
      <c r="D179" s="227" t="s">
        <v>219</v>
      </c>
      <c r="E179" s="22" t="s">
        <v>20</v>
      </c>
      <c r="F179" s="233" t="s">
        <v>502</v>
      </c>
      <c r="G179" s="25" t="s">
        <v>503</v>
      </c>
      <c r="H179" s="26"/>
      <c r="I179" s="26"/>
      <c r="J179" s="26"/>
      <c r="K179" s="22"/>
      <c r="L179" s="22"/>
      <c r="M179" s="22"/>
      <c r="N179" s="22"/>
      <c r="O179" s="22"/>
      <c r="P179" s="35"/>
      <c r="Q179" s="22"/>
      <c r="R179" s="22"/>
      <c r="S179" s="22" t="s">
        <v>164</v>
      </c>
    </row>
    <row r="180" spans="1:19" ht="96">
      <c r="A180" s="213"/>
      <c r="B180" s="207"/>
      <c r="C180" s="230"/>
      <c r="D180" s="229"/>
      <c r="E180" s="22" t="s">
        <v>109</v>
      </c>
      <c r="F180" s="233"/>
      <c r="G180" s="28" t="s">
        <v>504</v>
      </c>
      <c r="H180" s="26" t="s">
        <v>505</v>
      </c>
      <c r="I180" s="26"/>
      <c r="J180" s="26"/>
      <c r="K180" s="22"/>
      <c r="L180" s="22"/>
      <c r="M180" s="22"/>
      <c r="N180" s="22"/>
      <c r="O180" s="22"/>
      <c r="P180" s="35"/>
      <c r="Q180" s="22"/>
      <c r="R180" s="22"/>
      <c r="S180" s="22" t="s">
        <v>164</v>
      </c>
    </row>
    <row r="181" spans="1:19">
      <c r="A181" s="213"/>
      <c r="B181" s="208"/>
      <c r="C181" s="230"/>
      <c r="D181" s="35" t="s">
        <v>489</v>
      </c>
      <c r="E181" s="22" t="s">
        <v>167</v>
      </c>
      <c r="F181" s="233"/>
      <c r="G181" s="25" t="s">
        <v>506</v>
      </c>
      <c r="H181" s="26" t="s">
        <v>507</v>
      </c>
      <c r="I181" s="26"/>
      <c r="J181" s="26"/>
      <c r="K181" s="22"/>
      <c r="L181" s="22"/>
      <c r="M181" s="22"/>
      <c r="N181" s="22"/>
      <c r="O181" s="22"/>
      <c r="P181" s="35"/>
      <c r="Q181" s="22"/>
      <c r="R181" s="22"/>
      <c r="S181" s="22" t="s">
        <v>164</v>
      </c>
    </row>
    <row r="182" spans="1:19" ht="32.1">
      <c r="A182" s="213" t="s">
        <v>508</v>
      </c>
      <c r="B182" s="206" t="s">
        <v>509</v>
      </c>
      <c r="C182" s="230"/>
      <c r="D182" s="232" t="s">
        <v>510</v>
      </c>
      <c r="E182" s="22" t="s">
        <v>20</v>
      </c>
      <c r="F182" s="233" t="s">
        <v>511</v>
      </c>
      <c r="G182" s="25" t="s">
        <v>512</v>
      </c>
      <c r="H182" s="26" t="s">
        <v>513</v>
      </c>
      <c r="I182" s="26"/>
      <c r="J182" s="26"/>
      <c r="K182" s="22"/>
      <c r="L182" s="22"/>
      <c r="M182" s="22"/>
      <c r="N182" s="22"/>
      <c r="O182" s="22"/>
      <c r="P182" s="150"/>
      <c r="Q182" s="22"/>
      <c r="R182" s="22"/>
      <c r="S182" s="22" t="s">
        <v>164</v>
      </c>
    </row>
    <row r="183" spans="1:19" ht="48">
      <c r="A183" s="213"/>
      <c r="B183" s="207"/>
      <c r="C183" s="230"/>
      <c r="D183" s="232"/>
      <c r="E183" s="22" t="s">
        <v>109</v>
      </c>
      <c r="F183" s="233"/>
      <c r="G183" s="25" t="s">
        <v>514</v>
      </c>
      <c r="H183" s="26" t="s">
        <v>513</v>
      </c>
      <c r="I183" s="26"/>
      <c r="J183" s="26"/>
      <c r="K183" s="22"/>
      <c r="L183" s="22"/>
      <c r="M183" s="22"/>
      <c r="N183" s="22"/>
      <c r="O183" s="22"/>
      <c r="P183" s="150"/>
      <c r="Q183" s="22"/>
      <c r="R183" s="22"/>
      <c r="S183" s="22" t="s">
        <v>164</v>
      </c>
    </row>
    <row r="184" spans="1:19" ht="32.1">
      <c r="A184" s="213"/>
      <c r="B184" s="207"/>
      <c r="C184" s="230"/>
      <c r="D184" s="232"/>
      <c r="E184" s="22" t="s">
        <v>167</v>
      </c>
      <c r="F184" s="233"/>
      <c r="G184" s="25" t="s">
        <v>515</v>
      </c>
      <c r="H184" s="26" t="s">
        <v>516</v>
      </c>
      <c r="I184" s="26"/>
      <c r="J184" s="26"/>
      <c r="K184" s="22"/>
      <c r="L184" s="22"/>
      <c r="M184" s="22"/>
      <c r="N184" s="22"/>
      <c r="O184" s="22"/>
      <c r="P184" s="35"/>
      <c r="Q184" s="22"/>
      <c r="R184" s="22"/>
      <c r="S184" s="22" t="s">
        <v>164</v>
      </c>
    </row>
    <row r="185" spans="1:19" ht="48">
      <c r="A185" s="213"/>
      <c r="B185" s="207"/>
      <c r="C185" s="230"/>
      <c r="D185" s="232"/>
      <c r="E185" s="22" t="s">
        <v>170</v>
      </c>
      <c r="F185" s="233"/>
      <c r="G185" s="25" t="s">
        <v>517</v>
      </c>
      <c r="H185" s="26" t="s">
        <v>518</v>
      </c>
      <c r="I185" s="26"/>
      <c r="J185" s="26"/>
      <c r="K185" s="22"/>
      <c r="L185" s="22"/>
      <c r="M185" s="22"/>
      <c r="N185" s="22"/>
      <c r="O185" s="22"/>
      <c r="P185" s="150"/>
      <c r="Q185" s="22"/>
      <c r="R185" s="22"/>
      <c r="S185" s="22" t="s">
        <v>164</v>
      </c>
    </row>
    <row r="186" spans="1:19" ht="48">
      <c r="A186" s="213"/>
      <c r="B186" s="208"/>
      <c r="C186" s="230"/>
      <c r="D186" s="232"/>
      <c r="E186" s="22" t="s">
        <v>173</v>
      </c>
      <c r="F186" s="233"/>
      <c r="G186" s="26" t="s">
        <v>519</v>
      </c>
      <c r="H186" s="26" t="s">
        <v>520</v>
      </c>
      <c r="I186" s="26"/>
      <c r="J186" s="26"/>
      <c r="K186" s="22"/>
      <c r="L186" s="22"/>
      <c r="M186" s="22"/>
      <c r="N186" s="22"/>
      <c r="O186" s="22"/>
      <c r="P186" s="150"/>
      <c r="Q186" s="22"/>
      <c r="R186" s="22"/>
      <c r="S186" s="22" t="s">
        <v>164</v>
      </c>
    </row>
    <row r="187" spans="1:19">
      <c r="A187" s="209" t="s">
        <v>521</v>
      </c>
      <c r="B187" s="210"/>
      <c r="C187" s="210"/>
      <c r="D187" s="210"/>
      <c r="E187" s="210"/>
      <c r="F187" s="210"/>
      <c r="G187" s="210"/>
      <c r="H187" s="210"/>
      <c r="I187" s="210"/>
      <c r="J187" s="210"/>
      <c r="K187" s="210"/>
      <c r="L187" s="210"/>
      <c r="M187" s="210"/>
      <c r="N187" s="210"/>
      <c r="O187" s="210"/>
      <c r="P187" s="210"/>
      <c r="Q187" s="210"/>
      <c r="R187" s="210"/>
      <c r="S187" s="214"/>
    </row>
    <row r="188" spans="1:19">
      <c r="A188" s="213" t="s">
        <v>522</v>
      </c>
      <c r="B188" s="206">
        <v>7</v>
      </c>
      <c r="C188" s="213" t="s">
        <v>523</v>
      </c>
      <c r="D188" s="232" t="s">
        <v>219</v>
      </c>
      <c r="E188" s="22" t="s">
        <v>20</v>
      </c>
      <c r="F188" s="233" t="s">
        <v>523</v>
      </c>
      <c r="G188" s="25" t="s">
        <v>503</v>
      </c>
      <c r="H188" s="28" t="s">
        <v>524</v>
      </c>
      <c r="I188" s="28"/>
      <c r="J188" s="28"/>
      <c r="K188" s="22"/>
      <c r="L188" s="22"/>
      <c r="M188" s="22"/>
      <c r="N188" s="22"/>
      <c r="O188" s="22"/>
      <c r="P188" s="35"/>
      <c r="Q188" s="22"/>
      <c r="R188" s="22"/>
      <c r="S188" s="22" t="s">
        <v>164</v>
      </c>
    </row>
    <row r="189" spans="1:19" ht="128.1">
      <c r="A189" s="213"/>
      <c r="B189" s="207"/>
      <c r="C189" s="213"/>
      <c r="D189" s="232"/>
      <c r="E189" s="22" t="s">
        <v>109</v>
      </c>
      <c r="F189" s="233"/>
      <c r="G189" s="28" t="s">
        <v>525</v>
      </c>
      <c r="H189" s="28" t="s">
        <v>526</v>
      </c>
      <c r="I189" s="28"/>
      <c r="J189" s="28"/>
      <c r="K189" s="22"/>
      <c r="L189" s="22"/>
      <c r="M189" s="22"/>
      <c r="N189" s="22"/>
      <c r="P189" s="157"/>
      <c r="Q189" s="22"/>
      <c r="R189" s="22"/>
      <c r="S189" s="22" t="s">
        <v>164</v>
      </c>
    </row>
    <row r="190" spans="1:19">
      <c r="A190" s="213"/>
      <c r="B190" s="208"/>
      <c r="C190" s="213"/>
      <c r="D190" s="232"/>
      <c r="E190" s="22" t="s">
        <v>167</v>
      </c>
      <c r="F190" s="270"/>
      <c r="G190" s="28" t="s">
        <v>527</v>
      </c>
      <c r="H190" s="28" t="s">
        <v>528</v>
      </c>
      <c r="I190" s="28"/>
      <c r="J190" s="28"/>
      <c r="K190" s="22"/>
      <c r="L190" s="22"/>
      <c r="M190" s="22"/>
      <c r="N190" s="22"/>
      <c r="O190" s="22"/>
      <c r="P190" s="35"/>
      <c r="Q190" s="22"/>
      <c r="R190" s="22"/>
      <c r="S190" s="166" t="s">
        <v>209</v>
      </c>
    </row>
    <row r="191" spans="1:19">
      <c r="A191" s="209" t="s">
        <v>529</v>
      </c>
      <c r="B191" s="210"/>
      <c r="C191" s="210"/>
      <c r="D191" s="210"/>
      <c r="E191" s="210"/>
      <c r="F191" s="210"/>
      <c r="G191" s="210"/>
      <c r="H191" s="210"/>
      <c r="I191" s="210"/>
      <c r="J191" s="210"/>
      <c r="K191" s="210"/>
      <c r="L191" s="210"/>
      <c r="M191" s="210"/>
      <c r="N191" s="210"/>
      <c r="O191" s="210"/>
      <c r="P191" s="210"/>
      <c r="Q191" s="210"/>
      <c r="R191" s="210"/>
      <c r="S191" s="214"/>
    </row>
    <row r="192" spans="1:19" ht="128.1">
      <c r="A192" s="213" t="s">
        <v>530</v>
      </c>
      <c r="B192" s="206"/>
      <c r="C192" s="230" t="s">
        <v>531</v>
      </c>
      <c r="D192" s="232" t="s">
        <v>219</v>
      </c>
      <c r="E192" s="22" t="s">
        <v>20</v>
      </c>
      <c r="F192" s="262" t="s">
        <v>531</v>
      </c>
      <c r="G192" s="28" t="s">
        <v>532</v>
      </c>
      <c r="H192" s="28" t="s">
        <v>526</v>
      </c>
      <c r="I192" s="28"/>
      <c r="J192" s="28"/>
      <c r="K192" s="22"/>
      <c r="L192" s="22"/>
      <c r="M192" s="22"/>
      <c r="N192" s="22"/>
      <c r="O192" s="22"/>
      <c r="P192" s="35"/>
      <c r="Q192" s="22"/>
      <c r="R192" s="22"/>
      <c r="S192" s="166" t="s">
        <v>209</v>
      </c>
    </row>
    <row r="193" spans="1:19" ht="32.1">
      <c r="A193" s="213"/>
      <c r="B193" s="207"/>
      <c r="C193" s="230"/>
      <c r="D193" s="232"/>
      <c r="E193" s="22" t="s">
        <v>109</v>
      </c>
      <c r="F193" s="262"/>
      <c r="G193" s="28" t="s">
        <v>533</v>
      </c>
      <c r="H193" s="28" t="s">
        <v>534</v>
      </c>
      <c r="I193" s="28"/>
      <c r="J193" s="28"/>
      <c r="K193" s="22"/>
      <c r="L193" s="22"/>
      <c r="M193" s="22"/>
      <c r="N193" s="22"/>
      <c r="O193" s="22"/>
      <c r="P193" s="35"/>
      <c r="Q193" s="22"/>
      <c r="R193" s="22"/>
      <c r="S193" s="166" t="s">
        <v>209</v>
      </c>
    </row>
    <row r="194" spans="1:19">
      <c r="A194" s="213"/>
      <c r="B194" s="208"/>
      <c r="C194" s="230"/>
      <c r="D194" s="232"/>
      <c r="E194" s="22" t="s">
        <v>167</v>
      </c>
      <c r="F194" s="262"/>
      <c r="G194" s="28" t="s">
        <v>527</v>
      </c>
      <c r="H194" s="28" t="s">
        <v>528</v>
      </c>
      <c r="I194" s="28"/>
      <c r="J194" s="28"/>
      <c r="K194" s="22"/>
      <c r="L194" s="22"/>
      <c r="M194" s="22"/>
      <c r="N194" s="22"/>
      <c r="O194" s="22"/>
      <c r="P194" s="35"/>
      <c r="Q194" s="22"/>
      <c r="R194" s="22"/>
      <c r="S194" s="166" t="s">
        <v>209</v>
      </c>
    </row>
    <row r="195" spans="1:19">
      <c r="A195" s="209" t="s">
        <v>535</v>
      </c>
      <c r="B195" s="210"/>
      <c r="C195" s="210"/>
      <c r="D195" s="210"/>
      <c r="E195" s="210"/>
      <c r="F195" s="210"/>
      <c r="G195" s="210"/>
      <c r="H195" s="210"/>
      <c r="I195" s="210"/>
      <c r="J195" s="210"/>
      <c r="K195" s="210"/>
      <c r="L195" s="210"/>
      <c r="M195" s="210"/>
      <c r="N195" s="210"/>
      <c r="O195" s="210"/>
      <c r="P195" s="210"/>
      <c r="Q195" s="210"/>
      <c r="R195" s="210"/>
      <c r="S195" s="214"/>
    </row>
    <row r="196" spans="1:19" ht="96">
      <c r="A196" s="21" t="s">
        <v>536</v>
      </c>
      <c r="B196" s="21"/>
      <c r="C196" s="21" t="s">
        <v>537</v>
      </c>
      <c r="D196" s="35" t="s">
        <v>219</v>
      </c>
      <c r="E196" s="22" t="s">
        <v>20</v>
      </c>
      <c r="F196" s="31" t="s">
        <v>537</v>
      </c>
      <c r="G196" s="28" t="s">
        <v>538</v>
      </c>
      <c r="H196" s="26" t="s">
        <v>526</v>
      </c>
      <c r="I196" s="26"/>
      <c r="J196" s="26"/>
      <c r="K196" s="22"/>
      <c r="L196" s="22"/>
      <c r="M196" s="22"/>
      <c r="N196" s="22"/>
      <c r="O196" s="22"/>
      <c r="P196" s="35"/>
      <c r="Q196" s="22"/>
      <c r="R196" s="22"/>
      <c r="S196" s="166" t="s">
        <v>209</v>
      </c>
    </row>
    <row r="197" spans="1:19">
      <c r="A197" s="218" t="s">
        <v>539</v>
      </c>
      <c r="B197" s="219"/>
      <c r="C197" s="219"/>
      <c r="D197" s="219"/>
      <c r="E197" s="219"/>
      <c r="F197" s="219"/>
      <c r="G197" s="219"/>
      <c r="H197" s="219"/>
      <c r="I197" s="219"/>
      <c r="J197" s="219"/>
      <c r="K197" s="219"/>
      <c r="L197" s="219"/>
      <c r="M197" s="219"/>
      <c r="N197" s="219"/>
      <c r="O197" s="219"/>
      <c r="P197" s="219"/>
      <c r="Q197" s="219"/>
      <c r="R197" s="219"/>
      <c r="S197" s="220"/>
    </row>
    <row r="198" spans="1:19" ht="32.1">
      <c r="A198" s="205" t="s">
        <v>540</v>
      </c>
      <c r="B198" s="205"/>
      <c r="C198" s="205" t="s">
        <v>327</v>
      </c>
      <c r="D198" s="147" t="s">
        <v>328</v>
      </c>
      <c r="E198" s="53"/>
      <c r="F198" s="164" t="s">
        <v>329</v>
      </c>
      <c r="G198" s="30" t="s">
        <v>330</v>
      </c>
      <c r="H198" s="53"/>
      <c r="I198" s="53"/>
      <c r="J198" s="53"/>
      <c r="K198" s="53"/>
      <c r="L198" s="53"/>
      <c r="M198" s="53"/>
      <c r="N198" s="53"/>
      <c r="O198" s="53"/>
      <c r="P198" s="53"/>
      <c r="Q198" s="53"/>
      <c r="R198" s="53"/>
      <c r="S198" s="166" t="s">
        <v>209</v>
      </c>
    </row>
    <row r="199" spans="1:19">
      <c r="A199" s="205"/>
      <c r="B199" s="205"/>
      <c r="C199" s="205"/>
      <c r="D199" s="170" t="s">
        <v>331</v>
      </c>
      <c r="E199" s="53"/>
      <c r="F199" s="164" t="s">
        <v>332</v>
      </c>
      <c r="G199" s="30" t="s">
        <v>333</v>
      </c>
      <c r="H199" s="53"/>
      <c r="I199" s="53"/>
      <c r="J199" s="53"/>
      <c r="K199" s="53"/>
      <c r="L199" s="53"/>
      <c r="M199" s="53"/>
      <c r="N199" s="53"/>
      <c r="O199" s="53"/>
      <c r="P199" s="53"/>
      <c r="Q199" s="53"/>
      <c r="R199" s="53"/>
      <c r="S199" s="166" t="s">
        <v>209</v>
      </c>
    </row>
    <row r="200" spans="1:19">
      <c r="A200" s="205"/>
      <c r="B200" s="205"/>
      <c r="C200" s="205"/>
      <c r="D200" s="170" t="s">
        <v>334</v>
      </c>
      <c r="E200" s="53"/>
      <c r="F200" s="164" t="s">
        <v>335</v>
      </c>
      <c r="G200" s="30" t="s">
        <v>336</v>
      </c>
      <c r="H200" s="53"/>
      <c r="I200" s="53"/>
      <c r="J200" s="53"/>
      <c r="K200" s="53"/>
      <c r="L200" s="53"/>
      <c r="M200" s="53"/>
      <c r="N200" s="53"/>
      <c r="O200" s="53"/>
      <c r="P200" s="53"/>
      <c r="Q200" s="53"/>
      <c r="R200" s="53"/>
      <c r="S200" s="166" t="s">
        <v>209</v>
      </c>
    </row>
    <row r="201" spans="1:19">
      <c r="A201" s="224" t="s">
        <v>541</v>
      </c>
      <c r="B201" s="225"/>
      <c r="C201" s="225"/>
      <c r="D201" s="225"/>
      <c r="E201" s="225"/>
      <c r="F201" s="225"/>
      <c r="G201" s="225"/>
      <c r="H201" s="225"/>
      <c r="I201" s="225"/>
      <c r="J201" s="225"/>
      <c r="K201" s="225"/>
      <c r="L201" s="225"/>
      <c r="M201" s="225"/>
      <c r="N201" s="225"/>
      <c r="O201" s="225"/>
      <c r="P201" s="225"/>
      <c r="Q201" s="225"/>
      <c r="R201" s="225"/>
      <c r="S201" s="226"/>
    </row>
    <row r="202" spans="1:19" ht="96">
      <c r="A202" s="213" t="s">
        <v>542</v>
      </c>
      <c r="B202" s="206"/>
      <c r="C202" s="221" t="s">
        <v>339</v>
      </c>
      <c r="D202" s="147" t="s">
        <v>340</v>
      </c>
      <c r="E202" s="22" t="s">
        <v>20</v>
      </c>
      <c r="F202" s="29" t="s">
        <v>341</v>
      </c>
      <c r="G202" s="30" t="s">
        <v>342</v>
      </c>
      <c r="H202" s="26" t="str">
        <f t="shared" ref="H202:H205" si="19">_xlfn.CONCAT("Confirm if the ",D202," ", "has approved the PR and the approver name captured in Approver fields")</f>
        <v>Confirm if the Director / Senior Director has approved the PR and the approver name captured in Approver fields</v>
      </c>
      <c r="I202" s="26"/>
      <c r="J202" s="26"/>
      <c r="K202" s="22"/>
      <c r="L202" s="22"/>
      <c r="M202" s="22"/>
      <c r="N202" s="22"/>
      <c r="O202" s="22"/>
      <c r="P202" s="35"/>
      <c r="Q202" s="22"/>
      <c r="R202" s="22"/>
      <c r="S202" s="166" t="s">
        <v>209</v>
      </c>
    </row>
    <row r="203" spans="1:19" ht="32.1">
      <c r="A203" s="213"/>
      <c r="B203" s="207"/>
      <c r="C203" s="222"/>
      <c r="D203" s="147" t="s">
        <v>328</v>
      </c>
      <c r="E203" s="22" t="s">
        <v>20</v>
      </c>
      <c r="F203" s="29" t="s">
        <v>343</v>
      </c>
      <c r="G203" s="30" t="s">
        <v>330</v>
      </c>
      <c r="H203" s="26" t="str">
        <f t="shared" si="19"/>
        <v>Confirm if the SVP - Managed Services &amp; Customer Support has approved the PR and the approver name captured in Approver fields</v>
      </c>
      <c r="I203" s="26"/>
      <c r="J203" s="26"/>
      <c r="K203" s="22"/>
      <c r="L203" s="22"/>
      <c r="M203" s="22"/>
      <c r="N203" s="22"/>
      <c r="O203" s="22"/>
      <c r="P203" s="35"/>
      <c r="Q203" s="22"/>
      <c r="R203" s="22"/>
      <c r="S203" s="166" t="s">
        <v>209</v>
      </c>
    </row>
    <row r="204" spans="1:19" ht="32.1">
      <c r="A204" s="213"/>
      <c r="B204" s="207"/>
      <c r="C204" s="222"/>
      <c r="D204" s="147" t="s">
        <v>331</v>
      </c>
      <c r="E204" s="22" t="s">
        <v>20</v>
      </c>
      <c r="F204" s="29" t="s">
        <v>332</v>
      </c>
      <c r="G204" s="30" t="s">
        <v>333</v>
      </c>
      <c r="H204" s="26" t="str">
        <f t="shared" si="19"/>
        <v>Confirm if the COO &amp;  CFO has approved the PR and the approver name captured in Approver fields</v>
      </c>
      <c r="I204" s="26"/>
      <c r="J204" s="26"/>
      <c r="K204" s="22"/>
      <c r="L204" s="22"/>
      <c r="M204" s="22"/>
      <c r="N204" s="22"/>
      <c r="O204" s="22"/>
      <c r="P204" s="35"/>
      <c r="Q204" s="22"/>
      <c r="R204" s="22"/>
      <c r="S204" s="166" t="s">
        <v>209</v>
      </c>
    </row>
    <row r="205" spans="1:19" ht="32.1">
      <c r="A205" s="213"/>
      <c r="B205" s="208"/>
      <c r="C205" s="223"/>
      <c r="D205" s="147" t="s">
        <v>334</v>
      </c>
      <c r="E205" s="22" t="s">
        <v>20</v>
      </c>
      <c r="F205" s="29" t="s">
        <v>335</v>
      </c>
      <c r="G205" s="30" t="s">
        <v>336</v>
      </c>
      <c r="H205" s="26" t="str">
        <f t="shared" si="19"/>
        <v>Confirm if the CEO has approved the PR and the approver name captured in Approver fields</v>
      </c>
      <c r="I205" s="26"/>
      <c r="J205" s="26"/>
      <c r="K205" s="22"/>
      <c r="L205" s="22"/>
      <c r="M205" s="22"/>
      <c r="N205" s="22"/>
      <c r="O205" s="22"/>
      <c r="P205" s="35"/>
      <c r="Q205" s="22"/>
      <c r="R205" s="22"/>
      <c r="S205" s="166" t="s">
        <v>209</v>
      </c>
    </row>
    <row r="206" spans="1:19">
      <c r="A206" s="209" t="s">
        <v>543</v>
      </c>
      <c r="B206" s="210"/>
      <c r="C206" s="210"/>
      <c r="D206" s="210"/>
      <c r="E206" s="210"/>
      <c r="F206" s="210"/>
      <c r="G206" s="210"/>
      <c r="H206" s="210"/>
      <c r="I206" s="210"/>
      <c r="J206" s="210"/>
      <c r="K206" s="210"/>
      <c r="L206" s="210"/>
      <c r="M206" s="210"/>
      <c r="N206" s="210"/>
      <c r="O206" s="210"/>
      <c r="P206" s="210"/>
      <c r="Q206" s="210"/>
      <c r="R206" s="210"/>
      <c r="S206" s="214"/>
    </row>
    <row r="207" spans="1:19" ht="32.1">
      <c r="A207" s="213" t="s">
        <v>544</v>
      </c>
      <c r="B207" s="206"/>
      <c r="C207" s="212" t="s">
        <v>346</v>
      </c>
      <c r="D207" s="147" t="s">
        <v>347</v>
      </c>
      <c r="E207" s="22" t="s">
        <v>20</v>
      </c>
      <c r="F207" s="48" t="s">
        <v>329</v>
      </c>
      <c r="G207" s="30" t="s">
        <v>348</v>
      </c>
      <c r="H207" s="26" t="str">
        <f t="shared" ref="H207:H209" si="20">_xlfn.CONCAT("Confirm if the ",D207," ", "has approved the PR and the approver name captured in Approver fields")</f>
        <v>Confirm if the Senior Vice President &amp; Global Head of Delivery has approved the PR and the approver name captured in Approver fields</v>
      </c>
      <c r="I207" s="26"/>
      <c r="J207" s="26"/>
      <c r="K207" s="22"/>
      <c r="L207" s="22"/>
      <c r="M207" s="22"/>
      <c r="N207" s="22"/>
      <c r="O207" s="22"/>
      <c r="P207" s="35"/>
      <c r="Q207" s="22"/>
      <c r="R207" s="22"/>
      <c r="S207" s="166" t="s">
        <v>209</v>
      </c>
    </row>
    <row r="208" spans="1:19" ht="32.1">
      <c r="A208" s="213"/>
      <c r="B208" s="207"/>
      <c r="C208" s="212"/>
      <c r="D208" s="147" t="s">
        <v>331</v>
      </c>
      <c r="E208" s="22" t="s">
        <v>20</v>
      </c>
      <c r="F208" s="48" t="s">
        <v>332</v>
      </c>
      <c r="G208" s="30" t="s">
        <v>333</v>
      </c>
      <c r="H208" s="26" t="str">
        <f t="shared" si="20"/>
        <v>Confirm if the COO &amp;  CFO has approved the PR and the approver name captured in Approver fields</v>
      </c>
      <c r="I208" s="26"/>
      <c r="J208" s="26"/>
      <c r="K208" s="22"/>
      <c r="L208" s="22"/>
      <c r="M208" s="22"/>
      <c r="N208" s="22"/>
      <c r="O208" s="22"/>
      <c r="P208" s="35"/>
      <c r="Q208" s="22"/>
      <c r="R208" s="22"/>
      <c r="S208" s="166" t="s">
        <v>209</v>
      </c>
    </row>
    <row r="209" spans="1:19" ht="32.1">
      <c r="A209" s="213"/>
      <c r="B209" s="208"/>
      <c r="C209" s="212"/>
      <c r="D209" s="147" t="s">
        <v>334</v>
      </c>
      <c r="E209" s="22" t="s">
        <v>20</v>
      </c>
      <c r="F209" s="48" t="s">
        <v>335</v>
      </c>
      <c r="G209" s="30" t="s">
        <v>336</v>
      </c>
      <c r="H209" s="26" t="str">
        <f t="shared" si="20"/>
        <v>Confirm if the CEO has approved the PR and the approver name captured in Approver fields</v>
      </c>
      <c r="I209" s="26"/>
      <c r="J209" s="26"/>
      <c r="K209" s="22"/>
      <c r="L209" s="22"/>
      <c r="M209" s="22"/>
      <c r="N209" s="22"/>
      <c r="O209" s="22"/>
      <c r="P209" s="35"/>
      <c r="Q209" s="22"/>
      <c r="R209" s="22"/>
      <c r="S209" s="166" t="s">
        <v>209</v>
      </c>
    </row>
    <row r="210" spans="1:19">
      <c r="A210" s="209" t="s">
        <v>545</v>
      </c>
      <c r="B210" s="210"/>
      <c r="C210" s="210"/>
      <c r="D210" s="210"/>
      <c r="E210" s="210"/>
      <c r="F210" s="210"/>
      <c r="G210" s="210"/>
      <c r="H210" s="210"/>
      <c r="I210" s="210"/>
      <c r="J210" s="210"/>
      <c r="K210" s="210"/>
      <c r="L210" s="210"/>
      <c r="M210" s="210"/>
      <c r="N210" s="210"/>
      <c r="O210" s="210"/>
      <c r="P210" s="210"/>
      <c r="Q210" s="210"/>
      <c r="R210" s="210"/>
      <c r="S210" s="214"/>
    </row>
    <row r="211" spans="1:19" ht="32.1">
      <c r="A211" s="213" t="s">
        <v>546</v>
      </c>
      <c r="B211" s="207"/>
      <c r="C211" s="212" t="s">
        <v>351</v>
      </c>
      <c r="D211" s="147" t="s">
        <v>352</v>
      </c>
      <c r="E211" s="22" t="s">
        <v>20</v>
      </c>
      <c r="F211" s="29" t="s">
        <v>329</v>
      </c>
      <c r="G211" s="30" t="s">
        <v>353</v>
      </c>
      <c r="H211" s="26" t="str">
        <f t="shared" ref="H211:H213" si="21">_xlfn.CONCAT("Confirm if the ",D211," ", "has approved the PR and the approver name captured in Approver fields")</f>
        <v>Confirm if the General Counsel has approved the PR and the approver name captured in Approver fields</v>
      </c>
      <c r="I211" s="26"/>
      <c r="J211" s="26"/>
      <c r="K211" s="22"/>
      <c r="L211" s="22"/>
      <c r="M211" s="22"/>
      <c r="N211" s="22"/>
      <c r="O211" s="22"/>
      <c r="P211" s="35"/>
      <c r="Q211" s="22"/>
      <c r="R211" s="22"/>
      <c r="S211" s="166" t="s">
        <v>209</v>
      </c>
    </row>
    <row r="212" spans="1:19" ht="32.1">
      <c r="A212" s="213"/>
      <c r="B212" s="207"/>
      <c r="C212" s="212"/>
      <c r="D212" s="147" t="s">
        <v>331</v>
      </c>
      <c r="E212" s="22" t="s">
        <v>20</v>
      </c>
      <c r="F212" s="29" t="s">
        <v>332</v>
      </c>
      <c r="G212" s="30" t="s">
        <v>333</v>
      </c>
      <c r="H212" s="26" t="str">
        <f t="shared" si="21"/>
        <v>Confirm if the COO &amp;  CFO has approved the PR and the approver name captured in Approver fields</v>
      </c>
      <c r="I212" s="26"/>
      <c r="J212" s="26"/>
      <c r="K212" s="22"/>
      <c r="L212" s="22"/>
      <c r="M212" s="22"/>
      <c r="N212" s="22"/>
      <c r="O212" s="22"/>
      <c r="P212" s="35"/>
      <c r="Q212" s="22"/>
      <c r="R212" s="22"/>
      <c r="S212" s="166" t="s">
        <v>209</v>
      </c>
    </row>
    <row r="213" spans="1:19" ht="32.1">
      <c r="A213" s="213"/>
      <c r="B213" s="208"/>
      <c r="C213" s="212"/>
      <c r="D213" s="147" t="s">
        <v>334</v>
      </c>
      <c r="E213" s="22" t="s">
        <v>20</v>
      </c>
      <c r="F213" s="29" t="s">
        <v>335</v>
      </c>
      <c r="G213" s="30" t="s">
        <v>336</v>
      </c>
      <c r="H213" s="26" t="str">
        <f t="shared" si="21"/>
        <v>Confirm if the CEO has approved the PR and the approver name captured in Approver fields</v>
      </c>
      <c r="I213" s="26"/>
      <c r="J213" s="26"/>
      <c r="K213" s="22"/>
      <c r="L213" s="22"/>
      <c r="M213" s="22"/>
      <c r="N213" s="22"/>
      <c r="O213" s="22"/>
      <c r="P213" s="35"/>
      <c r="Q213" s="22"/>
      <c r="R213" s="22"/>
      <c r="S213" s="166" t="s">
        <v>209</v>
      </c>
    </row>
    <row r="214" spans="1:19">
      <c r="A214" s="209" t="s">
        <v>547</v>
      </c>
      <c r="B214" s="210"/>
      <c r="C214" s="210"/>
      <c r="D214" s="210"/>
      <c r="E214" s="210"/>
      <c r="F214" s="210"/>
      <c r="G214" s="210"/>
      <c r="H214" s="210"/>
      <c r="I214" s="210"/>
      <c r="J214" s="210"/>
      <c r="K214" s="210"/>
      <c r="L214" s="210"/>
      <c r="M214" s="210"/>
      <c r="N214" s="210"/>
      <c r="O214" s="210"/>
      <c r="P214" s="210"/>
      <c r="Q214" s="210"/>
      <c r="R214" s="210"/>
      <c r="S214" s="214"/>
    </row>
    <row r="215" spans="1:19" ht="32.1">
      <c r="A215" s="213" t="s">
        <v>548</v>
      </c>
      <c r="B215" s="206"/>
      <c r="C215" s="212" t="s">
        <v>356</v>
      </c>
      <c r="D215" s="170" t="s">
        <v>340</v>
      </c>
      <c r="E215" s="22" t="s">
        <v>20</v>
      </c>
      <c r="F215" s="48" t="s">
        <v>341</v>
      </c>
      <c r="G215" s="30" t="s">
        <v>357</v>
      </c>
      <c r="H215" s="26" t="str">
        <f t="shared" ref="H215:H218" si="22">_xlfn.CONCAT("Confirm if the ",D215," ", "has approved the PR and the approver name captured in Approver fields")</f>
        <v>Confirm if the Director / Senior Director has approved the PR and the approver name captured in Approver fields</v>
      </c>
      <c r="I215" s="26"/>
      <c r="J215" s="26"/>
      <c r="K215" s="22"/>
      <c r="L215" s="22"/>
      <c r="M215" s="22"/>
      <c r="N215" s="22"/>
      <c r="O215" s="22"/>
      <c r="P215" s="35"/>
      <c r="Q215" s="22"/>
      <c r="R215" s="22"/>
      <c r="S215" s="166" t="s">
        <v>209</v>
      </c>
    </row>
    <row r="216" spans="1:19" ht="32.1">
      <c r="A216" s="213"/>
      <c r="B216" s="207"/>
      <c r="C216" s="212"/>
      <c r="D216" s="170" t="s">
        <v>358</v>
      </c>
      <c r="E216" s="22" t="s">
        <v>20</v>
      </c>
      <c r="F216" s="48" t="s">
        <v>343</v>
      </c>
      <c r="G216" s="30" t="s">
        <v>359</v>
      </c>
      <c r="H216" s="26" t="str">
        <f t="shared" si="22"/>
        <v>Confirm if the Chief HR Officer has approved the PR and the approver name captured in Approver fields</v>
      </c>
      <c r="I216" s="26"/>
      <c r="J216" s="26"/>
      <c r="K216" s="22"/>
      <c r="L216" s="22"/>
      <c r="M216" s="22"/>
      <c r="N216" s="22"/>
      <c r="O216" s="22"/>
      <c r="P216" s="35"/>
      <c r="Q216" s="22"/>
      <c r="R216" s="22"/>
      <c r="S216" s="166" t="s">
        <v>209</v>
      </c>
    </row>
    <row r="217" spans="1:19" ht="32.1">
      <c r="A217" s="213"/>
      <c r="B217" s="207"/>
      <c r="C217" s="212"/>
      <c r="D217" s="170" t="s">
        <v>331</v>
      </c>
      <c r="E217" s="22" t="s">
        <v>20</v>
      </c>
      <c r="F217" s="48" t="s">
        <v>332</v>
      </c>
      <c r="G217" s="30" t="s">
        <v>331</v>
      </c>
      <c r="H217" s="26" t="str">
        <f t="shared" si="22"/>
        <v>Confirm if the COO &amp;  CFO has approved the PR and the approver name captured in Approver fields</v>
      </c>
      <c r="I217" s="26"/>
      <c r="J217" s="26"/>
      <c r="K217" s="22"/>
      <c r="L217" s="22"/>
      <c r="M217" s="22"/>
      <c r="N217" s="22"/>
      <c r="O217" s="22"/>
      <c r="P217" s="35"/>
      <c r="Q217" s="22"/>
      <c r="R217" s="22"/>
      <c r="S217" s="166" t="s">
        <v>209</v>
      </c>
    </row>
    <row r="218" spans="1:19" ht="32.1">
      <c r="A218" s="213"/>
      <c r="B218" s="208"/>
      <c r="C218" s="212"/>
      <c r="D218" s="170" t="s">
        <v>334</v>
      </c>
      <c r="E218" s="22" t="s">
        <v>20</v>
      </c>
      <c r="F218" s="48" t="s">
        <v>335</v>
      </c>
      <c r="G218" s="30" t="s">
        <v>334</v>
      </c>
      <c r="H218" s="26" t="str">
        <f t="shared" si="22"/>
        <v>Confirm if the CEO has approved the PR and the approver name captured in Approver fields</v>
      </c>
      <c r="I218" s="26"/>
      <c r="J218" s="26"/>
      <c r="K218" s="22"/>
      <c r="L218" s="22"/>
      <c r="M218" s="22"/>
      <c r="N218" s="22"/>
      <c r="O218" s="22"/>
      <c r="P218" s="35"/>
      <c r="Q218" s="22"/>
      <c r="R218" s="22"/>
      <c r="S218" s="166" t="s">
        <v>209</v>
      </c>
    </row>
    <row r="219" spans="1:19">
      <c r="A219" s="209" t="s">
        <v>549</v>
      </c>
      <c r="B219" s="210"/>
      <c r="C219" s="210"/>
      <c r="D219" s="210"/>
      <c r="E219" s="210"/>
      <c r="F219" s="210"/>
      <c r="G219" s="210"/>
      <c r="H219" s="210"/>
      <c r="I219" s="210"/>
      <c r="J219" s="210"/>
      <c r="K219" s="210"/>
      <c r="L219" s="210"/>
      <c r="M219" s="210"/>
      <c r="N219" s="210"/>
      <c r="O219" s="210"/>
      <c r="P219" s="210"/>
      <c r="Q219" s="210"/>
      <c r="R219" s="210"/>
      <c r="S219" s="214"/>
    </row>
    <row r="220" spans="1:19" ht="32.1">
      <c r="A220" s="213" t="s">
        <v>550</v>
      </c>
      <c r="B220" s="206"/>
      <c r="C220" s="212" t="s">
        <v>362</v>
      </c>
      <c r="D220" s="147" t="s">
        <v>363</v>
      </c>
      <c r="E220" s="22" t="s">
        <v>20</v>
      </c>
      <c r="F220" s="29" t="s">
        <v>329</v>
      </c>
      <c r="G220" s="30" t="s">
        <v>364</v>
      </c>
      <c r="H220" s="26" t="str">
        <f t="shared" ref="H220:H222" si="23">_xlfn.CONCAT("Confirm if the ",D220," ", "has approved the PR and the approver name captured in Approver fields")</f>
        <v>Confirm if the Chief Information Officer - IT/Systems has approved the PR and the approver name captured in Approver fields</v>
      </c>
      <c r="I220" s="26"/>
      <c r="J220" s="26"/>
      <c r="K220" s="22"/>
      <c r="L220" s="22"/>
      <c r="M220" s="22"/>
      <c r="N220" s="22"/>
      <c r="O220" s="22"/>
      <c r="P220" s="35"/>
      <c r="Q220" s="22"/>
      <c r="R220" s="22"/>
      <c r="S220" s="166" t="s">
        <v>209</v>
      </c>
    </row>
    <row r="221" spans="1:19" ht="32.1">
      <c r="A221" s="213"/>
      <c r="B221" s="207"/>
      <c r="C221" s="212"/>
      <c r="D221" s="170" t="s">
        <v>331</v>
      </c>
      <c r="E221" s="22" t="s">
        <v>20</v>
      </c>
      <c r="F221" s="29" t="s">
        <v>332</v>
      </c>
      <c r="G221" s="30" t="s">
        <v>331</v>
      </c>
      <c r="H221" s="26" t="str">
        <f t="shared" si="23"/>
        <v>Confirm if the COO &amp;  CFO has approved the PR and the approver name captured in Approver fields</v>
      </c>
      <c r="I221" s="26"/>
      <c r="J221" s="26"/>
      <c r="K221" s="22"/>
      <c r="L221" s="22"/>
      <c r="M221" s="22"/>
      <c r="N221" s="22"/>
      <c r="O221" s="22"/>
      <c r="P221" s="35"/>
      <c r="Q221" s="22"/>
      <c r="R221" s="22"/>
      <c r="S221" s="166" t="s">
        <v>209</v>
      </c>
    </row>
    <row r="222" spans="1:19" ht="32.1">
      <c r="A222" s="213"/>
      <c r="B222" s="208"/>
      <c r="C222" s="212"/>
      <c r="D222" s="170" t="s">
        <v>334</v>
      </c>
      <c r="E222" s="22" t="s">
        <v>20</v>
      </c>
      <c r="F222" s="29" t="s">
        <v>335</v>
      </c>
      <c r="G222" s="30" t="s">
        <v>334</v>
      </c>
      <c r="H222" s="26" t="str">
        <f t="shared" si="23"/>
        <v>Confirm if the CEO has approved the PR and the approver name captured in Approver fields</v>
      </c>
      <c r="I222" s="26"/>
      <c r="J222" s="26"/>
      <c r="K222" s="22"/>
      <c r="L222" s="22"/>
      <c r="M222" s="22"/>
      <c r="N222" s="22"/>
      <c r="O222" s="22"/>
      <c r="P222" s="35"/>
      <c r="Q222" s="22"/>
      <c r="R222" s="22"/>
      <c r="S222" s="166" t="s">
        <v>209</v>
      </c>
    </row>
    <row r="223" spans="1:19">
      <c r="A223" s="209" t="s">
        <v>551</v>
      </c>
      <c r="B223" s="210"/>
      <c r="C223" s="210"/>
      <c r="D223" s="210"/>
      <c r="E223" s="210"/>
      <c r="F223" s="210"/>
      <c r="G223" s="210"/>
      <c r="H223" s="210"/>
      <c r="I223" s="210"/>
      <c r="J223" s="210"/>
      <c r="K223" s="210"/>
      <c r="L223" s="210"/>
      <c r="M223" s="210"/>
      <c r="N223" s="210"/>
      <c r="O223" s="210"/>
      <c r="P223" s="210"/>
      <c r="Q223" s="210"/>
      <c r="R223" s="210"/>
      <c r="S223" s="214"/>
    </row>
    <row r="224" spans="1:19" ht="32.1">
      <c r="A224" s="213" t="s">
        <v>552</v>
      </c>
      <c r="B224" s="206"/>
      <c r="C224" s="212" t="s">
        <v>367</v>
      </c>
      <c r="D224" s="170" t="s">
        <v>368</v>
      </c>
      <c r="E224" s="22" t="s">
        <v>20</v>
      </c>
      <c r="F224" s="48" t="s">
        <v>329</v>
      </c>
      <c r="G224" s="30" t="s">
        <v>369</v>
      </c>
      <c r="H224" s="26" t="str">
        <f t="shared" ref="H224:H226" si="24">_xlfn.CONCAT("Confirm if the ",D224," ", "has approved the PR and the approver name captured in Approver fields")</f>
        <v>Confirm if the Corporate Controller has approved the PR and the approver name captured in Approver fields</v>
      </c>
      <c r="I224" s="26"/>
      <c r="J224" s="26"/>
      <c r="K224" s="22"/>
      <c r="L224" s="22"/>
      <c r="M224" s="22"/>
      <c r="N224" s="22"/>
      <c r="O224" s="22"/>
      <c r="P224" s="35"/>
      <c r="Q224" s="22"/>
      <c r="R224" s="22"/>
      <c r="S224" s="166" t="s">
        <v>209</v>
      </c>
    </row>
    <row r="225" spans="1:19" ht="32.1">
      <c r="A225" s="213"/>
      <c r="B225" s="207"/>
      <c r="C225" s="212"/>
      <c r="D225" s="170" t="s">
        <v>331</v>
      </c>
      <c r="E225" s="22" t="s">
        <v>20</v>
      </c>
      <c r="F225" s="48" t="s">
        <v>332</v>
      </c>
      <c r="G225" s="30" t="s">
        <v>331</v>
      </c>
      <c r="H225" s="26" t="str">
        <f t="shared" si="24"/>
        <v>Confirm if the COO &amp;  CFO has approved the PR and the approver name captured in Approver fields</v>
      </c>
      <c r="I225" s="26"/>
      <c r="J225" s="26"/>
      <c r="K225" s="22"/>
      <c r="L225" s="22"/>
      <c r="M225" s="22"/>
      <c r="N225" s="22"/>
      <c r="O225" s="22"/>
      <c r="P225" s="35"/>
      <c r="Q225" s="22"/>
      <c r="R225" s="22"/>
      <c r="S225" s="166" t="s">
        <v>209</v>
      </c>
    </row>
    <row r="226" spans="1:19" ht="32.1">
      <c r="A226" s="213"/>
      <c r="B226" s="208"/>
      <c r="C226" s="212"/>
      <c r="D226" s="170" t="s">
        <v>334</v>
      </c>
      <c r="E226" s="22" t="s">
        <v>20</v>
      </c>
      <c r="F226" s="48" t="s">
        <v>335</v>
      </c>
      <c r="G226" s="30" t="s">
        <v>334</v>
      </c>
      <c r="H226" s="26" t="str">
        <f t="shared" si="24"/>
        <v>Confirm if the CEO has approved the PR and the approver name captured in Approver fields</v>
      </c>
      <c r="I226" s="26"/>
      <c r="J226" s="26"/>
      <c r="K226" s="22"/>
      <c r="L226" s="22"/>
      <c r="M226" s="22"/>
      <c r="N226" s="22"/>
      <c r="O226" s="22"/>
      <c r="P226" s="35"/>
      <c r="Q226" s="22"/>
      <c r="R226" s="22"/>
      <c r="S226" s="166" t="s">
        <v>209</v>
      </c>
    </row>
    <row r="227" spans="1:19">
      <c r="A227" s="209" t="s">
        <v>553</v>
      </c>
      <c r="B227" s="210"/>
      <c r="C227" s="210"/>
      <c r="D227" s="210"/>
      <c r="E227" s="210"/>
      <c r="F227" s="210"/>
      <c r="G227" s="210"/>
      <c r="H227" s="210"/>
      <c r="I227" s="210"/>
      <c r="J227" s="210"/>
      <c r="K227" s="210"/>
      <c r="L227" s="210"/>
      <c r="M227" s="210"/>
      <c r="N227" s="210"/>
      <c r="O227" s="210"/>
      <c r="P227" s="210"/>
      <c r="Q227" s="210"/>
      <c r="R227" s="210"/>
      <c r="S227" s="214"/>
    </row>
    <row r="228" spans="1:19" ht="32.1">
      <c r="A228" s="213" t="s">
        <v>554</v>
      </c>
      <c r="B228" s="206"/>
      <c r="C228" s="212" t="s">
        <v>372</v>
      </c>
      <c r="D228" s="147" t="s">
        <v>373</v>
      </c>
      <c r="E228" s="22" t="s">
        <v>20</v>
      </c>
      <c r="F228" s="48" t="s">
        <v>374</v>
      </c>
      <c r="G228" s="30" t="s">
        <v>373</v>
      </c>
      <c r="H228" s="26" t="str">
        <f t="shared" ref="H228:H231" si="25">_xlfn.CONCAT("Confirm if the ",D228," ", "has approved the PR and the approver name captured in Approver fields")</f>
        <v>Confirm if the VP / SVP has approved the PR and the approver name captured in Approver fields</v>
      </c>
      <c r="I228" s="26"/>
      <c r="J228" s="26"/>
      <c r="K228" s="22"/>
      <c r="L228" s="22"/>
      <c r="M228" s="22"/>
      <c r="N228" s="22"/>
      <c r="O228" s="22"/>
      <c r="P228" s="35"/>
      <c r="Q228" s="22"/>
      <c r="R228" s="22"/>
      <c r="S228" s="166" t="s">
        <v>209</v>
      </c>
    </row>
    <row r="229" spans="1:19" ht="32.1">
      <c r="A229" s="213"/>
      <c r="B229" s="207"/>
      <c r="C229" s="212"/>
      <c r="D229" s="170" t="s">
        <v>368</v>
      </c>
      <c r="E229" s="22" t="s">
        <v>20</v>
      </c>
      <c r="F229" s="48" t="s">
        <v>375</v>
      </c>
      <c r="G229" s="30" t="s">
        <v>369</v>
      </c>
      <c r="H229" s="26" t="str">
        <f t="shared" si="25"/>
        <v>Confirm if the Corporate Controller has approved the PR and the approver name captured in Approver fields</v>
      </c>
      <c r="I229" s="26"/>
      <c r="J229" s="26"/>
      <c r="K229" s="22"/>
      <c r="L229" s="22"/>
      <c r="M229" s="22"/>
      <c r="N229" s="22"/>
      <c r="O229" s="22"/>
      <c r="P229" s="35"/>
      <c r="Q229" s="22"/>
      <c r="R229" s="22"/>
      <c r="S229" s="166" t="s">
        <v>209</v>
      </c>
    </row>
    <row r="230" spans="1:19" ht="32.1">
      <c r="A230" s="213"/>
      <c r="B230" s="207"/>
      <c r="C230" s="212"/>
      <c r="D230" s="147" t="s">
        <v>331</v>
      </c>
      <c r="E230" s="22" t="s">
        <v>20</v>
      </c>
      <c r="F230" s="48" t="s">
        <v>332</v>
      </c>
      <c r="G230" s="30" t="s">
        <v>331</v>
      </c>
      <c r="H230" s="26" t="str">
        <f t="shared" si="25"/>
        <v>Confirm if the COO &amp;  CFO has approved the PR and the approver name captured in Approver fields</v>
      </c>
      <c r="I230" s="26"/>
      <c r="J230" s="26"/>
      <c r="K230" s="22"/>
      <c r="L230" s="22"/>
      <c r="M230" s="22"/>
      <c r="N230" s="22"/>
      <c r="O230" s="22"/>
      <c r="P230" s="35"/>
      <c r="Q230" s="22"/>
      <c r="R230" s="22"/>
      <c r="S230" s="166" t="s">
        <v>209</v>
      </c>
    </row>
    <row r="231" spans="1:19" ht="32.1">
      <c r="A231" s="213"/>
      <c r="B231" s="208"/>
      <c r="C231" s="212"/>
      <c r="D231" s="147" t="s">
        <v>334</v>
      </c>
      <c r="E231" s="22" t="s">
        <v>20</v>
      </c>
      <c r="F231" s="48" t="s">
        <v>335</v>
      </c>
      <c r="G231" s="30" t="s">
        <v>334</v>
      </c>
      <c r="H231" s="26" t="str">
        <f t="shared" si="25"/>
        <v>Confirm if the CEO has approved the PR and the approver name captured in Approver fields</v>
      </c>
      <c r="I231" s="26"/>
      <c r="J231" s="26"/>
      <c r="K231" s="22"/>
      <c r="L231" s="22"/>
      <c r="M231" s="22"/>
      <c r="N231" s="22"/>
      <c r="O231" s="22"/>
      <c r="P231" s="35"/>
      <c r="Q231" s="22"/>
      <c r="R231" s="22"/>
      <c r="S231" s="166" t="s">
        <v>209</v>
      </c>
    </row>
    <row r="232" spans="1:19">
      <c r="A232" s="209" t="s">
        <v>555</v>
      </c>
      <c r="B232" s="210"/>
      <c r="C232" s="210"/>
      <c r="D232" s="210"/>
      <c r="E232" s="210"/>
      <c r="F232" s="210"/>
      <c r="G232" s="210"/>
      <c r="H232" s="210"/>
      <c r="I232" s="210"/>
      <c r="J232" s="210"/>
      <c r="K232" s="210"/>
      <c r="L232" s="210"/>
      <c r="M232" s="210"/>
      <c r="N232" s="210"/>
      <c r="O232" s="210"/>
      <c r="P232" s="210"/>
      <c r="Q232" s="210"/>
      <c r="R232" s="210"/>
      <c r="S232" s="214"/>
    </row>
    <row r="233" spans="1:19" ht="32.1">
      <c r="A233" s="213" t="s">
        <v>556</v>
      </c>
      <c r="B233" s="206"/>
      <c r="C233" s="212" t="s">
        <v>378</v>
      </c>
      <c r="D233" s="147" t="s">
        <v>373</v>
      </c>
      <c r="E233" s="22" t="s">
        <v>20</v>
      </c>
      <c r="F233" s="29" t="s">
        <v>329</v>
      </c>
      <c r="G233" s="30" t="s">
        <v>373</v>
      </c>
      <c r="H233" s="26" t="str">
        <f t="shared" ref="H233:H235" si="26">_xlfn.CONCAT("Confirm if the ",D233," ", "has approved the PR and the approver name captured in Approver fields")</f>
        <v>Confirm if the VP / SVP has approved the PR and the approver name captured in Approver fields</v>
      </c>
      <c r="I233" s="26"/>
      <c r="J233" s="26"/>
      <c r="K233" s="22"/>
      <c r="L233" s="22"/>
      <c r="M233" s="22"/>
      <c r="N233" s="22"/>
      <c r="O233" s="22"/>
      <c r="P233" s="35"/>
      <c r="Q233" s="22"/>
      <c r="R233" s="22"/>
      <c r="S233" s="166" t="s">
        <v>209</v>
      </c>
    </row>
    <row r="234" spans="1:19" ht="32.1">
      <c r="A234" s="213"/>
      <c r="B234" s="207"/>
      <c r="C234" s="212"/>
      <c r="D234" s="147" t="s">
        <v>331</v>
      </c>
      <c r="E234" s="22" t="s">
        <v>20</v>
      </c>
      <c r="F234" s="29" t="s">
        <v>332</v>
      </c>
      <c r="G234" s="30" t="s">
        <v>331</v>
      </c>
      <c r="H234" s="26" t="str">
        <f t="shared" si="26"/>
        <v>Confirm if the COO &amp;  CFO has approved the PR and the approver name captured in Approver fields</v>
      </c>
      <c r="I234" s="26"/>
      <c r="J234" s="26"/>
      <c r="K234" s="22"/>
      <c r="L234" s="22"/>
      <c r="M234" s="22"/>
      <c r="N234" s="22"/>
      <c r="O234" s="22"/>
      <c r="P234" s="35"/>
      <c r="Q234" s="22"/>
      <c r="R234" s="22"/>
      <c r="S234" s="166" t="s">
        <v>209</v>
      </c>
    </row>
    <row r="235" spans="1:19" ht="32.1">
      <c r="A235" s="213"/>
      <c r="B235" s="208"/>
      <c r="C235" s="212"/>
      <c r="D235" s="147" t="s">
        <v>334</v>
      </c>
      <c r="E235" s="22" t="s">
        <v>20</v>
      </c>
      <c r="F235" s="29" t="s">
        <v>335</v>
      </c>
      <c r="G235" s="30" t="s">
        <v>334</v>
      </c>
      <c r="H235" s="26" t="str">
        <f t="shared" si="26"/>
        <v>Confirm if the CEO has approved the PR and the approver name captured in Approver fields</v>
      </c>
      <c r="I235" s="26"/>
      <c r="J235" s="26"/>
      <c r="K235" s="22"/>
      <c r="L235" s="22"/>
      <c r="M235" s="22"/>
      <c r="N235" s="22"/>
      <c r="O235" s="22"/>
      <c r="P235" s="35"/>
      <c r="Q235" s="22"/>
      <c r="R235" s="22"/>
      <c r="S235" s="166" t="s">
        <v>209</v>
      </c>
    </row>
    <row r="236" spans="1:19">
      <c r="A236" s="209" t="s">
        <v>557</v>
      </c>
      <c r="B236" s="210"/>
      <c r="C236" s="210"/>
      <c r="D236" s="210"/>
      <c r="E236" s="210"/>
      <c r="F236" s="210"/>
      <c r="G236" s="210"/>
      <c r="H236" s="210"/>
      <c r="I236" s="210"/>
      <c r="J236" s="210"/>
      <c r="K236" s="210"/>
      <c r="L236" s="210"/>
      <c r="M236" s="210"/>
      <c r="N236" s="210"/>
      <c r="O236" s="210"/>
      <c r="P236" s="210"/>
      <c r="Q236" s="210"/>
      <c r="R236" s="210"/>
      <c r="S236" s="214"/>
    </row>
    <row r="237" spans="1:19" ht="32.1">
      <c r="A237" s="213" t="s">
        <v>558</v>
      </c>
      <c r="B237" s="206"/>
      <c r="C237" s="212" t="s">
        <v>381</v>
      </c>
      <c r="D237" s="147" t="s">
        <v>382</v>
      </c>
      <c r="E237" s="22" t="s">
        <v>20</v>
      </c>
      <c r="F237" s="48" t="s">
        <v>329</v>
      </c>
      <c r="G237" s="30" t="s">
        <v>382</v>
      </c>
      <c r="H237" s="26" t="str">
        <f t="shared" ref="H237:H239" si="27">_xlfn.CONCAT("Confirm if the ",D237," ", "has approved the PR and the approver name captured in Approver fields")</f>
        <v>Confirm if the Chief Compliance Officer has approved the PR and the approver name captured in Approver fields</v>
      </c>
      <c r="I237" s="26"/>
      <c r="J237" s="26"/>
      <c r="K237" s="22"/>
      <c r="L237" s="22"/>
      <c r="M237" s="22"/>
      <c r="N237" s="22"/>
      <c r="O237" s="22"/>
      <c r="P237" s="35"/>
      <c r="Q237" s="22"/>
      <c r="R237" s="22"/>
      <c r="S237" s="166" t="s">
        <v>209</v>
      </c>
    </row>
    <row r="238" spans="1:19" ht="32.1">
      <c r="A238" s="213"/>
      <c r="B238" s="207"/>
      <c r="C238" s="212"/>
      <c r="D238" s="147" t="s">
        <v>331</v>
      </c>
      <c r="E238" s="22" t="s">
        <v>20</v>
      </c>
      <c r="F238" s="48" t="s">
        <v>332</v>
      </c>
      <c r="G238" s="30" t="s">
        <v>331</v>
      </c>
      <c r="H238" s="26" t="str">
        <f t="shared" si="27"/>
        <v>Confirm if the COO &amp;  CFO has approved the PR and the approver name captured in Approver fields</v>
      </c>
      <c r="I238" s="26"/>
      <c r="J238" s="26"/>
      <c r="K238" s="22"/>
      <c r="L238" s="22"/>
      <c r="M238" s="22"/>
      <c r="N238" s="22"/>
      <c r="O238" s="22"/>
      <c r="P238" s="35"/>
      <c r="Q238" s="22"/>
      <c r="R238" s="22"/>
      <c r="S238" s="166" t="s">
        <v>209</v>
      </c>
    </row>
    <row r="239" spans="1:19" ht="32.1">
      <c r="A239" s="213"/>
      <c r="B239" s="208"/>
      <c r="C239" s="212"/>
      <c r="D239" s="147" t="s">
        <v>334</v>
      </c>
      <c r="E239" s="22" t="s">
        <v>20</v>
      </c>
      <c r="F239" s="48" t="s">
        <v>335</v>
      </c>
      <c r="G239" s="30" t="s">
        <v>334</v>
      </c>
      <c r="H239" s="26" t="str">
        <f t="shared" si="27"/>
        <v>Confirm if the CEO has approved the PR and the approver name captured in Approver fields</v>
      </c>
      <c r="I239" s="26"/>
      <c r="J239" s="26"/>
      <c r="K239" s="22"/>
      <c r="L239" s="22"/>
      <c r="M239" s="22"/>
      <c r="N239" s="22"/>
      <c r="O239" s="22"/>
      <c r="P239" s="35"/>
      <c r="Q239" s="22"/>
      <c r="R239" s="22"/>
      <c r="S239" s="166" t="s">
        <v>209</v>
      </c>
    </row>
    <row r="240" spans="1:19">
      <c r="A240" s="209" t="s">
        <v>559</v>
      </c>
      <c r="B240" s="210"/>
      <c r="C240" s="210"/>
      <c r="D240" s="210"/>
      <c r="E240" s="210"/>
      <c r="F240" s="210"/>
      <c r="G240" s="210"/>
      <c r="H240" s="210"/>
      <c r="I240" s="210"/>
      <c r="J240" s="210"/>
      <c r="K240" s="210"/>
      <c r="L240" s="210"/>
      <c r="M240" s="210"/>
      <c r="N240" s="210"/>
      <c r="O240" s="210"/>
      <c r="P240" s="210"/>
      <c r="Q240" s="210"/>
      <c r="R240" s="210"/>
      <c r="S240" s="214"/>
    </row>
    <row r="241" spans="1:19" ht="128.1">
      <c r="A241" s="213" t="s">
        <v>560</v>
      </c>
      <c r="B241" s="206"/>
      <c r="C241" s="212" t="s">
        <v>385</v>
      </c>
      <c r="D241" s="147" t="s">
        <v>340</v>
      </c>
      <c r="E241" s="22" t="s">
        <v>20</v>
      </c>
      <c r="F241" s="48" t="s">
        <v>341</v>
      </c>
      <c r="G241" s="30" t="s">
        <v>386</v>
      </c>
      <c r="H241" s="26" t="str">
        <f t="shared" ref="H241:H244" si="28">_xlfn.CONCAT("Confirm if the ",D241," ", "has approved the PR and the approver name captured in Approver fields")</f>
        <v>Confirm if the Director / Senior Director has approved the PR and the approver name captured in Approver fields</v>
      </c>
      <c r="I241" s="26"/>
      <c r="J241" s="26"/>
      <c r="K241" s="22"/>
      <c r="L241" s="22"/>
      <c r="M241" s="22"/>
      <c r="N241" s="22"/>
      <c r="O241" s="22"/>
      <c r="P241" s="35"/>
      <c r="Q241" s="22"/>
      <c r="R241" s="22"/>
      <c r="S241" s="166" t="s">
        <v>209</v>
      </c>
    </row>
    <row r="242" spans="1:19" ht="32.1">
      <c r="A242" s="213"/>
      <c r="B242" s="207"/>
      <c r="C242" s="212"/>
      <c r="D242" s="147" t="s">
        <v>387</v>
      </c>
      <c r="E242" s="22" t="s">
        <v>20</v>
      </c>
      <c r="F242" s="48" t="s">
        <v>343</v>
      </c>
      <c r="G242" s="30" t="s">
        <v>387</v>
      </c>
      <c r="H242" s="26" t="str">
        <f t="shared" si="28"/>
        <v>Confirm if the CTO or SVP - Global Head of Engineering has approved the PR and the approver name captured in Approver fields</v>
      </c>
      <c r="I242" s="26"/>
      <c r="J242" s="26"/>
      <c r="K242" s="22"/>
      <c r="L242" s="22"/>
      <c r="M242" s="22"/>
      <c r="N242" s="22"/>
      <c r="O242" s="22"/>
      <c r="P242" s="35"/>
      <c r="Q242" s="22"/>
      <c r="R242" s="22"/>
      <c r="S242" s="166" t="s">
        <v>209</v>
      </c>
    </row>
    <row r="243" spans="1:19" ht="32.1">
      <c r="A243" s="213"/>
      <c r="B243" s="207"/>
      <c r="C243" s="212"/>
      <c r="D243" s="147" t="s">
        <v>331</v>
      </c>
      <c r="E243" s="22" t="s">
        <v>20</v>
      </c>
      <c r="F243" s="48" t="s">
        <v>332</v>
      </c>
      <c r="G243" s="30" t="s">
        <v>331</v>
      </c>
      <c r="H243" s="26" t="str">
        <f t="shared" si="28"/>
        <v>Confirm if the COO &amp;  CFO has approved the PR and the approver name captured in Approver fields</v>
      </c>
      <c r="I243" s="26"/>
      <c r="J243" s="26"/>
      <c r="K243" s="22"/>
      <c r="L243" s="22"/>
      <c r="M243" s="22"/>
      <c r="N243" s="22"/>
      <c r="O243" s="22"/>
      <c r="P243" s="35"/>
      <c r="Q243" s="22"/>
      <c r="R243" s="22"/>
      <c r="S243" s="166" t="s">
        <v>209</v>
      </c>
    </row>
    <row r="244" spans="1:19" ht="32.1">
      <c r="A244" s="213"/>
      <c r="B244" s="208"/>
      <c r="C244" s="212"/>
      <c r="D244" s="147" t="s">
        <v>334</v>
      </c>
      <c r="E244" s="22" t="s">
        <v>20</v>
      </c>
      <c r="F244" s="48" t="s">
        <v>335</v>
      </c>
      <c r="G244" s="30" t="s">
        <v>334</v>
      </c>
      <c r="H244" s="26" t="str">
        <f t="shared" si="28"/>
        <v>Confirm if the CEO has approved the PR and the approver name captured in Approver fields</v>
      </c>
      <c r="I244" s="26"/>
      <c r="J244" s="26"/>
      <c r="K244" s="22"/>
      <c r="L244" s="22"/>
      <c r="M244" s="22"/>
      <c r="N244" s="22"/>
      <c r="O244" s="22"/>
      <c r="P244" s="35"/>
      <c r="Q244" s="22"/>
      <c r="R244" s="22"/>
      <c r="S244" s="166" t="s">
        <v>209</v>
      </c>
    </row>
    <row r="245" spans="1:19">
      <c r="A245" s="209" t="s">
        <v>561</v>
      </c>
      <c r="B245" s="210"/>
      <c r="C245" s="210"/>
      <c r="D245" s="210"/>
      <c r="E245" s="210"/>
      <c r="F245" s="210"/>
      <c r="G245" s="210"/>
      <c r="H245" s="210"/>
      <c r="I245" s="210"/>
      <c r="J245" s="210"/>
      <c r="K245" s="210"/>
      <c r="L245" s="210"/>
      <c r="M245" s="210"/>
      <c r="N245" s="210"/>
      <c r="O245" s="210"/>
      <c r="P245" s="210"/>
      <c r="Q245" s="210"/>
      <c r="R245" s="210"/>
      <c r="S245" s="214"/>
    </row>
    <row r="246" spans="1:19" ht="32.1">
      <c r="A246" s="206" t="s">
        <v>562</v>
      </c>
      <c r="B246" s="206"/>
      <c r="C246" s="221" t="s">
        <v>390</v>
      </c>
      <c r="D246" s="147" t="s">
        <v>391</v>
      </c>
      <c r="E246" s="22" t="s">
        <v>20</v>
      </c>
      <c r="F246" s="48" t="s">
        <v>329</v>
      </c>
      <c r="G246" s="30" t="s">
        <v>391</v>
      </c>
      <c r="H246" s="26" t="str">
        <f t="shared" ref="H246:H248" si="29">_xlfn.CONCAT("Confirm if the ",D246," ", "has approved the PR and the approver name captured in Approver fields")</f>
        <v>Confirm if the Chief Revenue Officer has approved the PR and the approver name captured in Approver fields</v>
      </c>
      <c r="I246" s="26"/>
      <c r="J246" s="26"/>
      <c r="K246" s="22"/>
      <c r="L246" s="22"/>
      <c r="M246" s="22"/>
      <c r="N246" s="22"/>
      <c r="O246" s="22"/>
      <c r="P246" s="35"/>
      <c r="Q246" s="22"/>
      <c r="R246" s="22"/>
      <c r="S246" s="166" t="s">
        <v>209</v>
      </c>
    </row>
    <row r="247" spans="1:19" ht="32.1">
      <c r="A247" s="207"/>
      <c r="B247" s="207"/>
      <c r="C247" s="222"/>
      <c r="D247" s="147" t="s">
        <v>331</v>
      </c>
      <c r="E247" s="22" t="s">
        <v>20</v>
      </c>
      <c r="F247" s="48" t="s">
        <v>332</v>
      </c>
      <c r="G247" s="30" t="s">
        <v>331</v>
      </c>
      <c r="H247" s="26" t="str">
        <f t="shared" si="29"/>
        <v>Confirm if the COO &amp;  CFO has approved the PR and the approver name captured in Approver fields</v>
      </c>
      <c r="I247" s="26"/>
      <c r="J247" s="26"/>
      <c r="K247" s="22"/>
      <c r="L247" s="22"/>
      <c r="M247" s="22"/>
      <c r="N247" s="22"/>
      <c r="O247" s="22"/>
      <c r="P247" s="35"/>
      <c r="Q247" s="22"/>
      <c r="R247" s="22"/>
      <c r="S247" s="166" t="s">
        <v>209</v>
      </c>
    </row>
    <row r="248" spans="1:19" ht="32.1">
      <c r="A248" s="208"/>
      <c r="B248" s="208"/>
      <c r="C248" s="223"/>
      <c r="D248" s="147" t="s">
        <v>334</v>
      </c>
      <c r="E248" s="22" t="s">
        <v>20</v>
      </c>
      <c r="F248" s="48" t="s">
        <v>335</v>
      </c>
      <c r="G248" s="30" t="s">
        <v>334</v>
      </c>
      <c r="H248" s="26" t="str">
        <f t="shared" si="29"/>
        <v>Confirm if the CEO has approved the PR and the approver name captured in Approver fields</v>
      </c>
      <c r="I248" s="26"/>
      <c r="J248" s="26"/>
      <c r="K248" s="22"/>
      <c r="L248" s="22"/>
      <c r="M248" s="22"/>
      <c r="N248" s="22"/>
      <c r="O248" s="22"/>
      <c r="P248" s="35"/>
      <c r="Q248" s="22"/>
      <c r="R248" s="22"/>
      <c r="S248" s="166" t="s">
        <v>209</v>
      </c>
    </row>
    <row r="249" spans="1:19">
      <c r="A249" s="209" t="s">
        <v>563</v>
      </c>
      <c r="B249" s="210"/>
      <c r="C249" s="210"/>
      <c r="D249" s="210"/>
      <c r="E249" s="210"/>
      <c r="F249" s="210"/>
      <c r="G249" s="210"/>
      <c r="H249" s="210"/>
      <c r="I249" s="210"/>
      <c r="J249" s="210"/>
      <c r="K249" s="210"/>
      <c r="L249" s="210"/>
      <c r="M249" s="210"/>
      <c r="N249" s="210"/>
      <c r="O249" s="210"/>
      <c r="P249" s="210"/>
      <c r="Q249" s="210"/>
      <c r="R249" s="210"/>
      <c r="S249" s="211"/>
    </row>
    <row r="250" spans="1:19" ht="32.1">
      <c r="A250" s="206" t="s">
        <v>564</v>
      </c>
      <c r="B250" s="206"/>
      <c r="C250" s="221" t="s">
        <v>394</v>
      </c>
      <c r="D250" s="147" t="s">
        <v>395</v>
      </c>
      <c r="E250" s="22" t="s">
        <v>20</v>
      </c>
      <c r="F250" s="48" t="s">
        <v>329</v>
      </c>
      <c r="G250" s="153" t="s">
        <v>395</v>
      </c>
      <c r="H250" s="26" t="str">
        <f t="shared" ref="H250:H252" si="30">_xlfn.CONCAT("Confirm if the ",D250," ", "has approved the PR and the approver name captured in Approver fields")</f>
        <v>Confirm if the Senior Director - Cloud Operations has approved the PR and the approver name captured in Approver fields</v>
      </c>
      <c r="I250" s="26"/>
      <c r="J250" s="26"/>
      <c r="K250" s="22"/>
      <c r="L250" s="22"/>
      <c r="M250" s="22"/>
      <c r="N250" s="22"/>
      <c r="O250" s="22"/>
      <c r="P250" s="35"/>
      <c r="Q250" s="22"/>
      <c r="R250" s="22"/>
      <c r="S250" s="166" t="s">
        <v>209</v>
      </c>
    </row>
    <row r="251" spans="1:19" ht="32.1">
      <c r="A251" s="207"/>
      <c r="B251" s="207"/>
      <c r="C251" s="222"/>
      <c r="D251" s="170" t="s">
        <v>331</v>
      </c>
      <c r="E251" s="22" t="s">
        <v>20</v>
      </c>
      <c r="F251" s="48" t="s">
        <v>332</v>
      </c>
      <c r="G251" s="154" t="s">
        <v>331</v>
      </c>
      <c r="H251" s="26" t="str">
        <f t="shared" si="30"/>
        <v>Confirm if the COO &amp;  CFO has approved the PR and the approver name captured in Approver fields</v>
      </c>
      <c r="I251" s="26"/>
      <c r="J251" s="26"/>
      <c r="K251" s="22"/>
      <c r="L251" s="22"/>
      <c r="M251" s="22"/>
      <c r="N251" s="22"/>
      <c r="O251" s="22"/>
      <c r="P251" s="35"/>
      <c r="Q251" s="22"/>
      <c r="R251" s="22"/>
      <c r="S251" s="166" t="s">
        <v>209</v>
      </c>
    </row>
    <row r="252" spans="1:19" ht="32.1">
      <c r="A252" s="208"/>
      <c r="B252" s="208"/>
      <c r="C252" s="223"/>
      <c r="D252" s="170" t="s">
        <v>334</v>
      </c>
      <c r="E252" s="22" t="s">
        <v>20</v>
      </c>
      <c r="F252" s="48" t="s">
        <v>335</v>
      </c>
      <c r="G252" s="154" t="s">
        <v>334</v>
      </c>
      <c r="H252" s="26" t="str">
        <f t="shared" si="30"/>
        <v>Confirm if the CEO has approved the PR and the approver name captured in Approver fields</v>
      </c>
      <c r="I252" s="26"/>
      <c r="J252" s="26"/>
      <c r="K252" s="22"/>
      <c r="L252" s="22"/>
      <c r="M252" s="22"/>
      <c r="N252" s="22"/>
      <c r="O252" s="22"/>
      <c r="P252" s="35"/>
      <c r="Q252" s="22"/>
      <c r="R252" s="22"/>
      <c r="S252" s="166" t="s">
        <v>209</v>
      </c>
    </row>
    <row r="253" spans="1:19">
      <c r="A253" s="209" t="s">
        <v>565</v>
      </c>
      <c r="B253" s="210"/>
      <c r="C253" s="210"/>
      <c r="D253" s="210"/>
      <c r="E253" s="210"/>
      <c r="F253" s="210"/>
      <c r="G253" s="210"/>
      <c r="H253" s="210"/>
      <c r="I253" s="210"/>
      <c r="J253" s="210"/>
      <c r="K253" s="210"/>
      <c r="L253" s="210"/>
      <c r="M253" s="210"/>
      <c r="N253" s="210"/>
      <c r="O253" s="210"/>
      <c r="P253" s="210"/>
      <c r="Q253" s="210"/>
      <c r="R253" s="210"/>
      <c r="S253" s="211"/>
    </row>
    <row r="254" spans="1:19" ht="32.1">
      <c r="A254" s="206" t="s">
        <v>566</v>
      </c>
      <c r="B254" s="206"/>
      <c r="C254" s="221" t="s">
        <v>398</v>
      </c>
      <c r="D254" s="147" t="s">
        <v>399</v>
      </c>
      <c r="E254" s="22" t="s">
        <v>20</v>
      </c>
      <c r="F254" s="48" t="s">
        <v>329</v>
      </c>
      <c r="G254" s="30" t="s">
        <v>399</v>
      </c>
      <c r="H254" s="26" t="str">
        <f t="shared" ref="H254:H256" si="31">_xlfn.CONCAT("Confirm if the ",D254," ", "has approved the PR and the approver name captured in Approver fields")</f>
        <v>Confirm if the Chief Marketing Officer has approved the PR and the approver name captured in Approver fields</v>
      </c>
      <c r="I254" s="26"/>
      <c r="J254" s="26"/>
      <c r="K254" s="22"/>
      <c r="L254" s="22"/>
      <c r="M254" s="22"/>
      <c r="N254" s="22"/>
      <c r="O254" s="22"/>
      <c r="P254" s="35"/>
      <c r="Q254" s="22"/>
      <c r="R254" s="22"/>
      <c r="S254" s="166" t="s">
        <v>209</v>
      </c>
    </row>
    <row r="255" spans="1:19" ht="32.1">
      <c r="A255" s="207"/>
      <c r="B255" s="207"/>
      <c r="C255" s="222"/>
      <c r="D255" s="147" t="s">
        <v>331</v>
      </c>
      <c r="E255" s="22" t="s">
        <v>20</v>
      </c>
      <c r="F255" s="48" t="s">
        <v>332</v>
      </c>
      <c r="G255" s="30" t="s">
        <v>331</v>
      </c>
      <c r="H255" s="26" t="str">
        <f t="shared" si="31"/>
        <v>Confirm if the COO &amp;  CFO has approved the PR and the approver name captured in Approver fields</v>
      </c>
      <c r="I255" s="26"/>
      <c r="J255" s="26"/>
      <c r="K255" s="22"/>
      <c r="L255" s="22"/>
      <c r="M255" s="22"/>
      <c r="N255" s="22"/>
      <c r="O255" s="22"/>
      <c r="P255" s="35"/>
      <c r="Q255" s="22"/>
      <c r="R255" s="22"/>
      <c r="S255" s="166" t="s">
        <v>209</v>
      </c>
    </row>
    <row r="256" spans="1:19" ht="32.1">
      <c r="A256" s="208"/>
      <c r="B256" s="208"/>
      <c r="C256" s="223"/>
      <c r="D256" s="147" t="s">
        <v>334</v>
      </c>
      <c r="E256" s="22" t="s">
        <v>20</v>
      </c>
      <c r="F256" s="48" t="s">
        <v>335</v>
      </c>
      <c r="G256" s="30" t="s">
        <v>334</v>
      </c>
      <c r="H256" s="26" t="str">
        <f t="shared" si="31"/>
        <v>Confirm if the CEO has approved the PR and the approver name captured in Approver fields</v>
      </c>
      <c r="I256" s="26"/>
      <c r="J256" s="26"/>
      <c r="K256" s="22"/>
      <c r="L256" s="22"/>
      <c r="M256" s="22"/>
      <c r="N256" s="22"/>
      <c r="O256" s="22"/>
      <c r="P256" s="35"/>
      <c r="Q256" s="22"/>
      <c r="R256" s="22"/>
      <c r="S256" s="166" t="s">
        <v>209</v>
      </c>
    </row>
    <row r="257" spans="1:19">
      <c r="A257" s="209" t="s">
        <v>567</v>
      </c>
      <c r="B257" s="210"/>
      <c r="C257" s="210"/>
      <c r="D257" s="210"/>
      <c r="E257" s="210"/>
      <c r="F257" s="210"/>
      <c r="G257" s="210"/>
      <c r="H257" s="210"/>
      <c r="I257" s="210"/>
      <c r="J257" s="210"/>
      <c r="K257" s="210"/>
      <c r="L257" s="210"/>
      <c r="M257" s="210"/>
      <c r="N257" s="210"/>
      <c r="O257" s="210"/>
      <c r="P257" s="210"/>
      <c r="Q257" s="210"/>
      <c r="R257" s="210"/>
      <c r="S257" s="214"/>
    </row>
    <row r="258" spans="1:19" ht="32.1">
      <c r="A258" s="213" t="s">
        <v>568</v>
      </c>
      <c r="B258" s="206"/>
      <c r="C258" s="212" t="s">
        <v>402</v>
      </c>
      <c r="D258" s="147" t="s">
        <v>403</v>
      </c>
      <c r="E258" s="22" t="s">
        <v>20</v>
      </c>
      <c r="F258" s="48" t="s">
        <v>329</v>
      </c>
      <c r="G258" s="30" t="s">
        <v>403</v>
      </c>
      <c r="H258" s="26" t="str">
        <f t="shared" ref="H258:H260" si="32">_xlfn.CONCAT("Confirm if the ",D258," ", "has approved the PR and the approver name captured in Approver fields")</f>
        <v>Confirm if the Chief Product Manager has approved the PR and the approver name captured in Approver fields</v>
      </c>
      <c r="I258" s="26"/>
      <c r="J258" s="26"/>
      <c r="K258" s="22"/>
      <c r="L258" s="22"/>
      <c r="M258" s="22"/>
      <c r="N258" s="22"/>
      <c r="O258" s="22"/>
      <c r="P258" s="35"/>
      <c r="Q258" s="22"/>
      <c r="R258" s="22"/>
      <c r="S258" s="166" t="s">
        <v>209</v>
      </c>
    </row>
    <row r="259" spans="1:19" ht="32.1">
      <c r="A259" s="213"/>
      <c r="B259" s="207"/>
      <c r="C259" s="212"/>
      <c r="D259" s="147" t="s">
        <v>331</v>
      </c>
      <c r="E259" s="22" t="s">
        <v>20</v>
      </c>
      <c r="F259" s="48" t="s">
        <v>332</v>
      </c>
      <c r="G259" s="30" t="s">
        <v>331</v>
      </c>
      <c r="H259" s="26" t="str">
        <f t="shared" si="32"/>
        <v>Confirm if the COO &amp;  CFO has approved the PR and the approver name captured in Approver fields</v>
      </c>
      <c r="I259" s="26"/>
      <c r="J259" s="26"/>
      <c r="K259" s="22"/>
      <c r="L259" s="22"/>
      <c r="M259" s="22"/>
      <c r="N259" s="22"/>
      <c r="O259" s="22"/>
      <c r="P259" s="35"/>
      <c r="Q259" s="22"/>
      <c r="R259" s="22"/>
      <c r="S259" s="166" t="s">
        <v>209</v>
      </c>
    </row>
    <row r="260" spans="1:19" ht="32.1">
      <c r="A260" s="213"/>
      <c r="B260" s="208"/>
      <c r="C260" s="212"/>
      <c r="D260" s="147" t="s">
        <v>334</v>
      </c>
      <c r="E260" s="22" t="s">
        <v>20</v>
      </c>
      <c r="F260" s="48" t="s">
        <v>335</v>
      </c>
      <c r="G260" s="30" t="s">
        <v>334</v>
      </c>
      <c r="H260" s="26" t="str">
        <f t="shared" si="32"/>
        <v>Confirm if the CEO has approved the PR and the approver name captured in Approver fields</v>
      </c>
      <c r="I260" s="26"/>
      <c r="J260" s="26"/>
      <c r="K260" s="22"/>
      <c r="L260" s="22"/>
      <c r="M260" s="22"/>
      <c r="N260" s="22"/>
      <c r="O260" s="22"/>
      <c r="P260" s="35"/>
      <c r="Q260" s="22"/>
      <c r="R260" s="22"/>
      <c r="S260" s="166" t="s">
        <v>209</v>
      </c>
    </row>
    <row r="261" spans="1:19">
      <c r="A261" s="209" t="s">
        <v>569</v>
      </c>
      <c r="B261" s="210"/>
      <c r="C261" s="210"/>
      <c r="D261" s="210"/>
      <c r="E261" s="210"/>
      <c r="F261" s="210"/>
      <c r="G261" s="210"/>
      <c r="H261" s="210"/>
      <c r="I261" s="210"/>
      <c r="J261" s="210"/>
      <c r="K261" s="210"/>
      <c r="L261" s="210"/>
      <c r="M261" s="210"/>
      <c r="N261" s="210"/>
      <c r="O261" s="210"/>
      <c r="P261" s="210"/>
      <c r="Q261" s="210"/>
      <c r="R261" s="210"/>
      <c r="S261" s="214"/>
    </row>
    <row r="262" spans="1:19" ht="32.1">
      <c r="A262" s="213" t="s">
        <v>570</v>
      </c>
      <c r="B262" s="206"/>
      <c r="C262" s="212" t="s">
        <v>571</v>
      </c>
      <c r="D262" s="147" t="s">
        <v>340</v>
      </c>
      <c r="E262" s="22" t="s">
        <v>20</v>
      </c>
      <c r="F262" s="29" t="s">
        <v>341</v>
      </c>
      <c r="G262" s="30" t="s">
        <v>340</v>
      </c>
      <c r="H262" s="26" t="str">
        <f t="shared" ref="H262:H273" si="33">_xlfn.CONCAT("Confirm if the ",D262," ", "has approved the PR and the approver name captured in Approver fields")</f>
        <v>Confirm if the Director / Senior Director has approved the PR and the approver name captured in Approver fields</v>
      </c>
      <c r="I262" s="26"/>
      <c r="J262" s="26"/>
      <c r="K262" s="22"/>
      <c r="L262" s="22"/>
      <c r="M262" s="22"/>
      <c r="N262" s="22"/>
      <c r="O262" s="22"/>
      <c r="P262" s="35"/>
      <c r="Q262" s="22"/>
      <c r="R262" s="22"/>
      <c r="S262" s="166" t="s">
        <v>209</v>
      </c>
    </row>
    <row r="263" spans="1:19" ht="32.1">
      <c r="A263" s="213"/>
      <c r="B263" s="207"/>
      <c r="C263" s="212"/>
      <c r="D263" s="147" t="s">
        <v>407</v>
      </c>
      <c r="E263" s="22" t="s">
        <v>20</v>
      </c>
      <c r="F263" s="29" t="s">
        <v>343</v>
      </c>
      <c r="G263" s="30" t="s">
        <v>407</v>
      </c>
      <c r="H263" s="26" t="str">
        <f t="shared" si="33"/>
        <v>Confirm if the SVP &amp; Global Head - Risk has approved the PR and the approver name captured in Approver fields</v>
      </c>
      <c r="I263" s="26"/>
      <c r="J263" s="26"/>
      <c r="K263" s="22"/>
      <c r="L263" s="22"/>
      <c r="M263" s="22"/>
      <c r="N263" s="22"/>
      <c r="O263" s="22"/>
      <c r="P263" s="35"/>
      <c r="Q263" s="22"/>
      <c r="R263" s="22"/>
      <c r="S263" s="166" t="s">
        <v>209</v>
      </c>
    </row>
    <row r="264" spans="1:19" ht="32.1">
      <c r="A264" s="213"/>
      <c r="B264" s="207"/>
      <c r="C264" s="212"/>
      <c r="D264" s="147" t="s">
        <v>331</v>
      </c>
      <c r="E264" s="22" t="s">
        <v>20</v>
      </c>
      <c r="F264" s="29" t="s">
        <v>332</v>
      </c>
      <c r="G264" s="30" t="s">
        <v>331</v>
      </c>
      <c r="H264" s="26" t="str">
        <f t="shared" si="33"/>
        <v>Confirm if the COO &amp;  CFO has approved the PR and the approver name captured in Approver fields</v>
      </c>
      <c r="I264" s="26"/>
      <c r="J264" s="26"/>
      <c r="K264" s="22"/>
      <c r="L264" s="22"/>
      <c r="M264" s="22"/>
      <c r="N264" s="22"/>
      <c r="O264" s="22"/>
      <c r="P264" s="35"/>
      <c r="Q264" s="22"/>
      <c r="R264" s="22"/>
      <c r="S264" s="166" t="s">
        <v>209</v>
      </c>
    </row>
    <row r="265" spans="1:19" ht="32.1">
      <c r="A265" s="213"/>
      <c r="B265" s="208"/>
      <c r="C265" s="212"/>
      <c r="D265" s="147" t="s">
        <v>334</v>
      </c>
      <c r="E265" s="22" t="s">
        <v>20</v>
      </c>
      <c r="F265" s="29" t="s">
        <v>335</v>
      </c>
      <c r="G265" s="30" t="s">
        <v>334</v>
      </c>
      <c r="H265" s="26" t="str">
        <f t="shared" si="33"/>
        <v>Confirm if the CEO has approved the PR and the approver name captured in Approver fields</v>
      </c>
      <c r="I265" s="26"/>
      <c r="J265" s="26"/>
      <c r="K265" s="22"/>
      <c r="L265" s="22"/>
      <c r="M265" s="22"/>
      <c r="N265" s="22"/>
      <c r="O265" s="22"/>
      <c r="P265" s="35"/>
      <c r="Q265" s="22"/>
      <c r="R265" s="22"/>
      <c r="S265" s="166" t="s">
        <v>209</v>
      </c>
    </row>
    <row r="266" spans="1:19">
      <c r="A266" s="209" t="s">
        <v>572</v>
      </c>
      <c r="B266" s="210"/>
      <c r="C266" s="210"/>
      <c r="D266" s="210"/>
      <c r="E266" s="210"/>
      <c r="F266" s="210"/>
      <c r="G266" s="210"/>
      <c r="H266" s="210"/>
      <c r="I266" s="210"/>
      <c r="J266" s="210"/>
      <c r="K266" s="210"/>
      <c r="L266" s="210"/>
      <c r="M266" s="210"/>
      <c r="N266" s="210"/>
      <c r="O266" s="210"/>
      <c r="P266" s="210"/>
      <c r="Q266" s="210"/>
      <c r="R266" s="210"/>
      <c r="S266" s="214"/>
    </row>
    <row r="267" spans="1:19" ht="32.1">
      <c r="A267" s="206" t="s">
        <v>573</v>
      </c>
      <c r="B267" s="206"/>
      <c r="C267" s="236" t="s">
        <v>410</v>
      </c>
      <c r="D267" s="171" t="s">
        <v>411</v>
      </c>
      <c r="E267" s="22"/>
      <c r="F267" s="155" t="s">
        <v>329</v>
      </c>
      <c r="G267" s="156" t="s">
        <v>411</v>
      </c>
      <c r="H267" s="26" t="str">
        <f t="shared" si="33"/>
        <v>Confirm if the VP has approved the PR and the approver name captured in Approver fields</v>
      </c>
      <c r="I267" s="26"/>
      <c r="J267" s="26"/>
      <c r="K267" s="22"/>
      <c r="L267" s="22"/>
      <c r="M267" s="22"/>
      <c r="N267" s="22"/>
      <c r="O267" s="22"/>
      <c r="P267" s="35"/>
      <c r="Q267" s="22"/>
      <c r="R267" s="22"/>
      <c r="S267" s="166" t="s">
        <v>209</v>
      </c>
    </row>
    <row r="268" spans="1:19" ht="32.1">
      <c r="A268" s="207"/>
      <c r="B268" s="207"/>
      <c r="C268" s="237"/>
      <c r="D268" s="171" t="s">
        <v>331</v>
      </c>
      <c r="E268" s="22"/>
      <c r="F268" s="155" t="s">
        <v>332</v>
      </c>
      <c r="G268" s="156" t="s">
        <v>331</v>
      </c>
      <c r="H268" s="26" t="str">
        <f t="shared" si="33"/>
        <v>Confirm if the COO &amp;  CFO has approved the PR and the approver name captured in Approver fields</v>
      </c>
      <c r="I268" s="26"/>
      <c r="J268" s="26"/>
      <c r="K268" s="22"/>
      <c r="L268" s="22"/>
      <c r="M268" s="22"/>
      <c r="N268" s="22"/>
      <c r="O268" s="22"/>
      <c r="P268" s="35"/>
      <c r="Q268" s="22"/>
      <c r="R268" s="22"/>
      <c r="S268" s="166" t="s">
        <v>209</v>
      </c>
    </row>
    <row r="269" spans="1:19" ht="32.1">
      <c r="A269" s="208"/>
      <c r="B269" s="278"/>
      <c r="C269" s="238"/>
      <c r="D269" s="171" t="s">
        <v>334</v>
      </c>
      <c r="E269" s="22"/>
      <c r="F269" s="155" t="s">
        <v>335</v>
      </c>
      <c r="G269" s="156" t="s">
        <v>334</v>
      </c>
      <c r="H269" s="26" t="str">
        <f t="shared" si="33"/>
        <v>Confirm if the CEO has approved the PR and the approver name captured in Approver fields</v>
      </c>
      <c r="I269" s="26"/>
      <c r="J269" s="26"/>
      <c r="K269" s="22"/>
      <c r="L269" s="22"/>
      <c r="M269" s="22"/>
      <c r="N269" s="22"/>
      <c r="O269" s="22"/>
      <c r="P269" s="35"/>
      <c r="Q269" s="22"/>
      <c r="R269" s="22"/>
      <c r="S269" s="166" t="s">
        <v>209</v>
      </c>
    </row>
    <row r="270" spans="1:19">
      <c r="A270" s="209" t="s">
        <v>574</v>
      </c>
      <c r="B270" s="210"/>
      <c r="C270" s="210"/>
      <c r="D270" s="210"/>
      <c r="E270" s="210"/>
      <c r="F270" s="210"/>
      <c r="G270" s="210"/>
      <c r="H270" s="210"/>
      <c r="I270" s="210"/>
      <c r="J270" s="210"/>
      <c r="K270" s="210"/>
      <c r="L270" s="210"/>
      <c r="M270" s="210"/>
      <c r="N270" s="210"/>
      <c r="O270" s="210"/>
      <c r="P270" s="210"/>
      <c r="Q270" s="210"/>
      <c r="R270" s="210"/>
      <c r="S270" s="214"/>
    </row>
    <row r="271" spans="1:19" ht="32.1">
      <c r="A271" s="239" t="s">
        <v>575</v>
      </c>
      <c r="B271" s="279"/>
      <c r="C271" s="239" t="s">
        <v>414</v>
      </c>
      <c r="D271" s="171" t="s">
        <v>415</v>
      </c>
      <c r="E271" s="155"/>
      <c r="F271" s="155" t="s">
        <v>329</v>
      </c>
      <c r="G271" s="156" t="s">
        <v>415</v>
      </c>
      <c r="H271" s="26" t="str">
        <f t="shared" si="33"/>
        <v>Confirm if the CTO has approved the PR and the approver name captured in Approver fields</v>
      </c>
      <c r="I271" s="155"/>
      <c r="J271" s="155"/>
      <c r="K271" s="155"/>
      <c r="L271" s="155"/>
      <c r="M271" s="155"/>
      <c r="N271" s="155"/>
      <c r="O271" s="155"/>
      <c r="P271" s="155"/>
      <c r="Q271" s="155"/>
      <c r="R271" s="155"/>
      <c r="S271" s="166" t="s">
        <v>209</v>
      </c>
    </row>
    <row r="272" spans="1:19" ht="32.1">
      <c r="A272" s="240"/>
      <c r="B272" s="240"/>
      <c r="C272" s="240"/>
      <c r="D272" s="171" t="s">
        <v>331</v>
      </c>
      <c r="E272" s="155"/>
      <c r="F272" s="155" t="s">
        <v>332</v>
      </c>
      <c r="G272" s="156" t="s">
        <v>331</v>
      </c>
      <c r="H272" s="26" t="str">
        <f t="shared" si="33"/>
        <v>Confirm if the COO &amp;  CFO has approved the PR and the approver name captured in Approver fields</v>
      </c>
      <c r="I272" s="155"/>
      <c r="J272" s="155"/>
      <c r="K272" s="155"/>
      <c r="L272" s="155"/>
      <c r="M272" s="155"/>
      <c r="N272" s="155"/>
      <c r="O272" s="155"/>
      <c r="P272" s="155"/>
      <c r="Q272" s="155"/>
      <c r="R272" s="155"/>
      <c r="S272" s="166" t="s">
        <v>209</v>
      </c>
    </row>
    <row r="273" spans="1:19" ht="32.1">
      <c r="A273" s="241"/>
      <c r="B273" s="241"/>
      <c r="C273" s="241"/>
      <c r="D273" s="171" t="s">
        <v>334</v>
      </c>
      <c r="E273" s="155"/>
      <c r="F273" s="155" t="s">
        <v>335</v>
      </c>
      <c r="G273" s="156" t="s">
        <v>334</v>
      </c>
      <c r="H273" s="26" t="str">
        <f t="shared" si="33"/>
        <v>Confirm if the CEO has approved the PR and the approver name captured in Approver fields</v>
      </c>
      <c r="I273" s="155"/>
      <c r="J273" s="155"/>
      <c r="K273" s="155"/>
      <c r="L273" s="155"/>
      <c r="M273" s="155"/>
      <c r="N273" s="155"/>
      <c r="O273" s="155"/>
      <c r="P273" s="155"/>
      <c r="Q273" s="155"/>
      <c r="R273" s="155"/>
      <c r="S273" s="166" t="s">
        <v>209</v>
      </c>
    </row>
    <row r="274" spans="1:19" ht="63.95">
      <c r="A274" s="206" t="s">
        <v>576</v>
      </c>
      <c r="B274" s="21"/>
      <c r="C274" s="29" t="s">
        <v>417</v>
      </c>
      <c r="D274" s="35" t="s">
        <v>418</v>
      </c>
      <c r="E274" s="22" t="s">
        <v>20</v>
      </c>
      <c r="F274" s="31" t="s">
        <v>419</v>
      </c>
      <c r="G274" s="25" t="str">
        <f>_xlfn.CONCAT(D274, " will approve the PR")</f>
        <v>CFO will approve the PR</v>
      </c>
      <c r="H274" s="26" t="str">
        <f>_xlfn.CONCAT("Confirm if ",D274," approved the PR")</f>
        <v>Confirm if CFO approved the PR</v>
      </c>
      <c r="I274" s="26"/>
      <c r="J274" s="26"/>
      <c r="K274" s="22"/>
      <c r="L274" s="22"/>
      <c r="M274" s="22"/>
      <c r="N274" s="22"/>
      <c r="O274" s="22"/>
      <c r="P274" s="35"/>
      <c r="Q274" s="22"/>
      <c r="R274" s="22"/>
      <c r="S274" s="166" t="s">
        <v>209</v>
      </c>
    </row>
    <row r="275" spans="1:19" ht="63.95">
      <c r="A275" s="207"/>
      <c r="B275" s="21"/>
      <c r="C275" s="29" t="s">
        <v>420</v>
      </c>
      <c r="D275" s="35" t="s">
        <v>421</v>
      </c>
      <c r="E275" s="22" t="s">
        <v>20</v>
      </c>
      <c r="F275" s="31" t="s">
        <v>422</v>
      </c>
      <c r="G275" s="25" t="str">
        <f t="shared" ref="G275:G284" si="34">_xlfn.CONCAT(D275, " will approve the PR")</f>
        <v>FPA &amp; CFO will approve the PR</v>
      </c>
      <c r="H275" s="26" t="str">
        <f t="shared" ref="H275:H284" si="35">_xlfn.CONCAT("Confirm if ",D275," approved the PR")</f>
        <v>Confirm if FPA &amp; CFO approved the PR</v>
      </c>
      <c r="I275" s="26"/>
      <c r="J275" s="26"/>
      <c r="K275" s="22"/>
      <c r="L275" s="22"/>
      <c r="M275" s="22"/>
      <c r="N275" s="22"/>
      <c r="O275" s="22"/>
      <c r="P275" s="35"/>
      <c r="Q275" s="22"/>
      <c r="R275" s="22"/>
      <c r="S275" s="166" t="s">
        <v>209</v>
      </c>
    </row>
    <row r="276" spans="1:19" ht="63.95">
      <c r="A276" s="207"/>
      <c r="B276" s="21"/>
      <c r="C276" s="29" t="s">
        <v>423</v>
      </c>
      <c r="D276" s="35" t="s">
        <v>424</v>
      </c>
      <c r="E276" s="22" t="s">
        <v>20</v>
      </c>
      <c r="F276" s="31" t="s">
        <v>425</v>
      </c>
      <c r="G276" s="25" t="str">
        <f t="shared" si="34"/>
        <v xml:space="preserve"> FPA will approve the PR</v>
      </c>
      <c r="H276" s="26" t="str">
        <f t="shared" si="35"/>
        <v>Confirm if  FPA approved the PR</v>
      </c>
      <c r="I276" s="26"/>
      <c r="J276" s="26"/>
      <c r="K276" s="22"/>
      <c r="L276" s="22"/>
      <c r="M276" s="22"/>
      <c r="N276" s="22"/>
      <c r="O276" s="22"/>
      <c r="P276" s="35"/>
      <c r="Q276" s="22"/>
      <c r="R276" s="22"/>
      <c r="S276" s="166" t="s">
        <v>209</v>
      </c>
    </row>
    <row r="277" spans="1:19" ht="63.95">
      <c r="A277" s="207"/>
      <c r="B277" s="21"/>
      <c r="C277" s="29" t="s">
        <v>426</v>
      </c>
      <c r="D277" s="35" t="s">
        <v>368</v>
      </c>
      <c r="E277" s="22" t="s">
        <v>20</v>
      </c>
      <c r="F277" s="31" t="s">
        <v>427</v>
      </c>
      <c r="G277" s="25" t="str">
        <f t="shared" si="34"/>
        <v>Corporate Controller will approve the PR</v>
      </c>
      <c r="H277" s="26" t="str">
        <f t="shared" si="35"/>
        <v>Confirm if Corporate Controller approved the PR</v>
      </c>
      <c r="I277" s="26"/>
      <c r="J277" s="26"/>
      <c r="K277" s="22"/>
      <c r="L277" s="22"/>
      <c r="M277" s="22"/>
      <c r="N277" s="22"/>
      <c r="O277" s="22"/>
      <c r="P277" s="35"/>
      <c r="Q277" s="22"/>
      <c r="R277" s="22"/>
      <c r="S277" s="166" t="s">
        <v>209</v>
      </c>
    </row>
    <row r="278" spans="1:19" ht="63.95">
      <c r="A278" s="207"/>
      <c r="B278" s="21"/>
      <c r="C278" s="29" t="s">
        <v>428</v>
      </c>
      <c r="D278" s="35" t="s">
        <v>429</v>
      </c>
      <c r="E278" s="22" t="s">
        <v>20</v>
      </c>
      <c r="F278" s="31" t="s">
        <v>430</v>
      </c>
      <c r="G278" s="25" t="str">
        <f>_xlfn.CONCAT(D278, " will approve the PR")</f>
        <v>Corporate Controller &amp; CFO will approve the PR</v>
      </c>
      <c r="H278" s="26" t="str">
        <f t="shared" si="35"/>
        <v>Confirm if Corporate Controller &amp; CFO approved the PR</v>
      </c>
      <c r="I278" s="26"/>
      <c r="J278" s="26"/>
      <c r="K278" s="22"/>
      <c r="L278" s="22"/>
      <c r="M278" s="22"/>
      <c r="N278" s="22"/>
      <c r="O278" s="22"/>
      <c r="P278" s="35"/>
      <c r="Q278" s="22"/>
      <c r="R278" s="22"/>
      <c r="S278" s="166" t="s">
        <v>209</v>
      </c>
    </row>
    <row r="279" spans="1:19" ht="63.95">
      <c r="A279" s="207"/>
      <c r="B279" s="21"/>
      <c r="C279" s="29" t="s">
        <v>428</v>
      </c>
      <c r="D279" s="35" t="s">
        <v>431</v>
      </c>
      <c r="E279" s="22" t="s">
        <v>20</v>
      </c>
      <c r="F279" s="31" t="s">
        <v>432</v>
      </c>
      <c r="G279" s="25" t="str">
        <f t="shared" si="34"/>
        <v>COO &amp; CFO will approve the PR</v>
      </c>
      <c r="H279" s="26" t="str">
        <f t="shared" si="35"/>
        <v>Confirm if COO &amp; CFO approved the PR</v>
      </c>
      <c r="I279" s="26"/>
      <c r="J279" s="26"/>
      <c r="K279" s="22"/>
      <c r="L279" s="22"/>
      <c r="M279" s="22"/>
      <c r="N279" s="22"/>
      <c r="O279" s="22"/>
      <c r="P279" s="35"/>
      <c r="Q279" s="22"/>
      <c r="R279" s="22"/>
      <c r="S279" s="166" t="s">
        <v>209</v>
      </c>
    </row>
    <row r="280" spans="1:19" ht="63.95">
      <c r="A280" s="207"/>
      <c r="B280" s="21"/>
      <c r="C280" s="29" t="s">
        <v>426</v>
      </c>
      <c r="D280" s="35" t="s">
        <v>433</v>
      </c>
      <c r="E280" s="22" t="s">
        <v>20</v>
      </c>
      <c r="F280" s="31" t="s">
        <v>434</v>
      </c>
      <c r="G280" s="25" t="str">
        <f t="shared" si="34"/>
        <v>COO will approve the PR</v>
      </c>
      <c r="H280" s="26" t="str">
        <f t="shared" si="35"/>
        <v>Confirm if COO approved the PR</v>
      </c>
      <c r="I280" s="26"/>
      <c r="J280" s="26"/>
      <c r="K280" s="22"/>
      <c r="L280" s="22"/>
      <c r="M280" s="22"/>
      <c r="N280" s="22"/>
      <c r="O280" s="22"/>
      <c r="P280" s="35"/>
      <c r="Q280" s="22"/>
      <c r="R280" s="22"/>
      <c r="S280" s="166" t="s">
        <v>209</v>
      </c>
    </row>
    <row r="281" spans="1:19" ht="63.95">
      <c r="A281" s="207"/>
      <c r="B281" s="21"/>
      <c r="C281" s="29" t="s">
        <v>435</v>
      </c>
      <c r="D281" s="35" t="s">
        <v>436</v>
      </c>
      <c r="E281" s="22" t="s">
        <v>20</v>
      </c>
      <c r="F281" s="31" t="s">
        <v>437</v>
      </c>
      <c r="G281" s="25" t="str">
        <f t="shared" si="34"/>
        <v xml:space="preserve"> FPA, Corporate Controller &amp; CFO will approve the PR</v>
      </c>
      <c r="H281" s="26" t="str">
        <f t="shared" si="35"/>
        <v>Confirm if  FPA, Corporate Controller &amp; CFO approved the PR</v>
      </c>
      <c r="I281" s="26"/>
      <c r="J281" s="26"/>
      <c r="K281" s="22"/>
      <c r="L281" s="22"/>
      <c r="M281" s="22"/>
      <c r="N281" s="22"/>
      <c r="O281" s="22"/>
      <c r="P281" s="35"/>
      <c r="Q281" s="22"/>
      <c r="R281" s="22"/>
      <c r="S281" s="166" t="s">
        <v>209</v>
      </c>
    </row>
    <row r="282" spans="1:19" ht="63.95">
      <c r="A282" s="207"/>
      <c r="B282" s="21"/>
      <c r="C282" s="29" t="s">
        <v>438</v>
      </c>
      <c r="D282" s="35" t="s">
        <v>439</v>
      </c>
      <c r="E282" s="22" t="s">
        <v>20</v>
      </c>
      <c r="F282" s="31" t="s">
        <v>440</v>
      </c>
      <c r="G282" s="25" t="str">
        <f t="shared" si="34"/>
        <v>FPA &amp; Corporate Controller will approve the PR</v>
      </c>
      <c r="H282" s="26" t="str">
        <f t="shared" si="35"/>
        <v>Confirm if FPA &amp; Corporate Controller approved the PR</v>
      </c>
      <c r="I282" s="26"/>
      <c r="J282" s="26"/>
      <c r="K282" s="22"/>
      <c r="L282" s="22"/>
      <c r="M282" s="22"/>
      <c r="N282" s="22"/>
      <c r="O282" s="22"/>
      <c r="P282" s="35"/>
      <c r="Q282" s="22"/>
      <c r="R282" s="22"/>
      <c r="S282" s="166" t="s">
        <v>209</v>
      </c>
    </row>
    <row r="283" spans="1:19" ht="63.95">
      <c r="A283" s="207"/>
      <c r="B283" s="21"/>
      <c r="C283" s="29" t="s">
        <v>435</v>
      </c>
      <c r="D283" s="35" t="s">
        <v>441</v>
      </c>
      <c r="E283" s="22" t="s">
        <v>20</v>
      </c>
      <c r="F283" s="31" t="s">
        <v>442</v>
      </c>
      <c r="G283" s="25" t="str">
        <f t="shared" si="34"/>
        <v>FPA, COO, &amp; CFO will approve the PR</v>
      </c>
      <c r="H283" s="26" t="str">
        <f t="shared" si="35"/>
        <v>Confirm if FPA, COO, &amp; CFO approved the PR</v>
      </c>
      <c r="I283" s="26"/>
      <c r="J283" s="26"/>
      <c r="K283" s="22"/>
      <c r="L283" s="22"/>
      <c r="M283" s="22"/>
      <c r="N283" s="22"/>
      <c r="O283" s="22"/>
      <c r="P283" s="35"/>
      <c r="Q283" s="22"/>
      <c r="R283" s="22"/>
      <c r="S283" s="166" t="s">
        <v>209</v>
      </c>
    </row>
    <row r="284" spans="1:19" ht="63.95">
      <c r="A284" s="208"/>
      <c r="B284" s="21"/>
      <c r="C284" s="29" t="s">
        <v>438</v>
      </c>
      <c r="D284" s="35" t="s">
        <v>443</v>
      </c>
      <c r="E284" s="22" t="s">
        <v>20</v>
      </c>
      <c r="F284" s="31" t="s">
        <v>444</v>
      </c>
      <c r="G284" s="25" t="str">
        <f t="shared" si="34"/>
        <v>FPA &amp; COO will approve the PR</v>
      </c>
      <c r="H284" s="26" t="str">
        <f t="shared" si="35"/>
        <v>Confirm if FPA &amp; COO approved the PR</v>
      </c>
      <c r="I284" s="26"/>
      <c r="J284" s="26"/>
      <c r="K284" s="22"/>
      <c r="L284" s="22"/>
      <c r="M284" s="22"/>
      <c r="N284" s="22"/>
      <c r="O284" s="22"/>
      <c r="P284" s="35"/>
      <c r="Q284" s="22"/>
      <c r="R284" s="22"/>
      <c r="S284" s="166" t="s">
        <v>209</v>
      </c>
    </row>
    <row r="285" spans="1:19">
      <c r="A285" s="209" t="s">
        <v>577</v>
      </c>
      <c r="B285" s="219"/>
      <c r="C285" s="219"/>
      <c r="D285" s="219"/>
      <c r="E285" s="219"/>
      <c r="F285" s="219"/>
      <c r="G285" s="219"/>
      <c r="H285" s="219"/>
      <c r="I285" s="219"/>
      <c r="J285" s="219"/>
      <c r="K285" s="219"/>
      <c r="L285" s="219"/>
      <c r="M285" s="219"/>
      <c r="N285" s="219"/>
      <c r="O285" s="219"/>
      <c r="P285" s="219"/>
      <c r="Q285" s="219"/>
      <c r="R285" s="219"/>
      <c r="S285" s="220"/>
    </row>
    <row r="286" spans="1:19" ht="32.1">
      <c r="A286" s="206" t="s">
        <v>578</v>
      </c>
      <c r="B286" s="206"/>
      <c r="C286" s="234" t="s">
        <v>294</v>
      </c>
      <c r="D286" s="227" t="s">
        <v>295</v>
      </c>
      <c r="E286" s="22" t="s">
        <v>20</v>
      </c>
      <c r="F286" s="234" t="s">
        <v>294</v>
      </c>
      <c r="G286" s="25" t="s">
        <v>296</v>
      </c>
      <c r="H286" s="26" t="s">
        <v>297</v>
      </c>
      <c r="I286" s="26"/>
      <c r="J286" s="26"/>
      <c r="K286" s="22"/>
      <c r="L286" s="22"/>
      <c r="M286" s="22"/>
      <c r="N286" s="22"/>
      <c r="O286" s="22"/>
      <c r="P286" s="35"/>
      <c r="Q286" s="22"/>
      <c r="R286" s="22"/>
      <c r="S286" s="166" t="s">
        <v>209</v>
      </c>
    </row>
    <row r="287" spans="1:19">
      <c r="A287" s="207"/>
      <c r="B287" s="207"/>
      <c r="C287" s="242"/>
      <c r="D287" s="228"/>
      <c r="E287" s="22" t="s">
        <v>109</v>
      </c>
      <c r="F287" s="242"/>
      <c r="G287" s="25" t="s">
        <v>298</v>
      </c>
      <c r="H287" s="26" t="s">
        <v>299</v>
      </c>
      <c r="I287" s="26"/>
      <c r="J287" s="26"/>
      <c r="K287" s="22"/>
      <c r="L287" s="22"/>
      <c r="M287" s="22"/>
      <c r="N287" s="22"/>
      <c r="O287" s="22"/>
      <c r="P287" s="35"/>
      <c r="Q287" s="22"/>
      <c r="R287" s="22"/>
      <c r="S287" s="166" t="s">
        <v>209</v>
      </c>
    </row>
    <row r="288" spans="1:19">
      <c r="A288" s="207"/>
      <c r="B288" s="207"/>
      <c r="C288" s="242"/>
      <c r="D288" s="228"/>
      <c r="E288" s="51" t="s">
        <v>167</v>
      </c>
      <c r="F288" s="242"/>
      <c r="G288" s="79" t="s">
        <v>300</v>
      </c>
      <c r="H288" s="80" t="s">
        <v>301</v>
      </c>
      <c r="I288" s="80"/>
      <c r="J288" s="80"/>
      <c r="K288" s="51"/>
      <c r="L288" s="51"/>
      <c r="M288" s="51"/>
      <c r="N288" s="51"/>
      <c r="O288" s="51"/>
      <c r="P288" s="47"/>
      <c r="Q288" s="51"/>
      <c r="R288" s="51"/>
      <c r="S288" s="166" t="s">
        <v>209</v>
      </c>
    </row>
    <row r="289" spans="1:19" ht="32.1">
      <c r="A289" s="208"/>
      <c r="B289" s="208"/>
      <c r="C289" s="235"/>
      <c r="D289" s="248"/>
      <c r="E289" s="22" t="s">
        <v>170</v>
      </c>
      <c r="F289" s="243"/>
      <c r="G289" s="25" t="s">
        <v>302</v>
      </c>
      <c r="H289" s="26" t="s">
        <v>303</v>
      </c>
      <c r="I289" s="26"/>
      <c r="J289" s="26"/>
      <c r="K289" s="22"/>
      <c r="L289" s="22"/>
      <c r="M289" s="22"/>
      <c r="N289" s="22"/>
      <c r="O289" s="22"/>
      <c r="P289" s="35"/>
      <c r="Q289" s="22"/>
      <c r="R289" s="22"/>
      <c r="S289" s="166" t="s">
        <v>209</v>
      </c>
    </row>
    <row r="290" spans="1:19">
      <c r="A290" s="209" t="s">
        <v>579</v>
      </c>
      <c r="B290" s="210"/>
      <c r="C290" s="210"/>
      <c r="D290" s="210"/>
      <c r="E290" s="210"/>
      <c r="F290" s="210"/>
      <c r="G290" s="210"/>
      <c r="H290" s="210"/>
      <c r="I290" s="210"/>
      <c r="J290" s="210"/>
      <c r="K290" s="210"/>
      <c r="L290" s="210"/>
      <c r="M290" s="210"/>
      <c r="N290" s="210"/>
      <c r="O290" s="210"/>
      <c r="P290" s="210"/>
      <c r="Q290" s="210"/>
      <c r="R290" s="210"/>
      <c r="S290" s="214"/>
    </row>
    <row r="291" spans="1:19" ht="48">
      <c r="A291" s="21" t="s">
        <v>580</v>
      </c>
      <c r="B291" s="21"/>
      <c r="C291" s="21" t="s">
        <v>305</v>
      </c>
      <c r="D291" s="35" t="s">
        <v>305</v>
      </c>
      <c r="E291" s="22" t="s">
        <v>20</v>
      </c>
      <c r="F291" s="31" t="s">
        <v>305</v>
      </c>
      <c r="G291" s="25" t="s">
        <v>306</v>
      </c>
      <c r="H291" s="26" t="s">
        <v>581</v>
      </c>
      <c r="I291" s="26"/>
      <c r="J291" s="26"/>
      <c r="K291" s="22"/>
      <c r="L291" s="22"/>
      <c r="M291" s="22"/>
      <c r="N291" s="22"/>
      <c r="O291" s="22"/>
      <c r="P291" s="35"/>
      <c r="Q291" s="22"/>
      <c r="R291" s="22"/>
      <c r="S291" s="166" t="s">
        <v>209</v>
      </c>
    </row>
    <row r="292" spans="1:19">
      <c r="A292" s="224" t="s">
        <v>582</v>
      </c>
      <c r="B292" s="244"/>
      <c r="C292" s="244"/>
      <c r="D292" s="244"/>
      <c r="E292" s="244"/>
      <c r="F292" s="244"/>
      <c r="G292" s="244"/>
      <c r="H292" s="244"/>
      <c r="I292" s="244"/>
      <c r="J292" s="244"/>
      <c r="K292" s="244"/>
      <c r="L292" s="244"/>
      <c r="M292" s="244"/>
      <c r="N292" s="244"/>
      <c r="O292" s="244"/>
      <c r="P292" s="244"/>
      <c r="Q292" s="244"/>
      <c r="R292" s="244"/>
      <c r="S292" s="245"/>
    </row>
    <row r="293" spans="1:19" ht="32.1">
      <c r="A293" s="206" t="s">
        <v>583</v>
      </c>
      <c r="B293" s="206"/>
      <c r="C293" s="234" t="s">
        <v>312</v>
      </c>
      <c r="D293" s="227" t="s">
        <v>454</v>
      </c>
      <c r="E293" s="22" t="s">
        <v>20</v>
      </c>
      <c r="F293" s="234" t="s">
        <v>312</v>
      </c>
      <c r="G293" s="25" t="s">
        <v>584</v>
      </c>
      <c r="H293" s="26" t="s">
        <v>585</v>
      </c>
      <c r="I293" s="26"/>
      <c r="J293" s="26"/>
      <c r="K293" s="22"/>
      <c r="L293" s="22"/>
      <c r="M293" s="22"/>
      <c r="N293" s="22"/>
      <c r="O293" s="22"/>
      <c r="P293" s="35"/>
      <c r="Q293" s="22"/>
      <c r="R293" s="22"/>
      <c r="S293" s="166" t="s">
        <v>209</v>
      </c>
    </row>
    <row r="294" spans="1:19" ht="32.1">
      <c r="A294" s="207"/>
      <c r="B294" s="207"/>
      <c r="C294" s="242"/>
      <c r="D294" s="228"/>
      <c r="E294" s="43" t="s">
        <v>109</v>
      </c>
      <c r="F294" s="233"/>
      <c r="G294" s="89" t="s">
        <v>586</v>
      </c>
      <c r="H294" s="26" t="s">
        <v>587</v>
      </c>
      <c r="I294" s="26"/>
      <c r="J294" s="26"/>
      <c r="K294" s="22"/>
      <c r="L294" s="22"/>
      <c r="M294" s="22"/>
      <c r="N294" s="22"/>
      <c r="O294" s="22"/>
      <c r="P294" s="35"/>
      <c r="Q294" s="22"/>
      <c r="R294" s="22"/>
      <c r="S294" s="166" t="s">
        <v>209</v>
      </c>
    </row>
    <row r="295" spans="1:19">
      <c r="A295" s="207"/>
      <c r="B295" s="207"/>
      <c r="C295" s="242"/>
      <c r="D295" s="228"/>
      <c r="E295" s="43" t="s">
        <v>167</v>
      </c>
      <c r="F295" s="233"/>
      <c r="G295" s="89" t="s">
        <v>588</v>
      </c>
      <c r="H295" s="26" t="s">
        <v>589</v>
      </c>
      <c r="I295" s="26"/>
      <c r="J295" s="26"/>
      <c r="K295" s="22"/>
      <c r="L295" s="22"/>
      <c r="M295" s="22"/>
      <c r="N295" s="22"/>
      <c r="O295" s="22"/>
      <c r="P295" s="35"/>
      <c r="Q295" s="22"/>
      <c r="R295" s="22"/>
      <c r="S295" s="166" t="s">
        <v>209</v>
      </c>
    </row>
    <row r="296" spans="1:19" ht="32.1">
      <c r="A296" s="208"/>
      <c r="B296" s="208"/>
      <c r="C296" s="235"/>
      <c r="D296" s="229"/>
      <c r="E296" s="43" t="s">
        <v>170</v>
      </c>
      <c r="F296" s="233"/>
      <c r="G296" s="89" t="s">
        <v>590</v>
      </c>
      <c r="H296" s="26" t="s">
        <v>591</v>
      </c>
      <c r="I296" s="26"/>
      <c r="J296" s="26"/>
      <c r="K296" s="22"/>
      <c r="L296" s="22"/>
      <c r="M296" s="22"/>
      <c r="N296" s="22"/>
      <c r="O296" s="22"/>
      <c r="P296" s="35"/>
      <c r="Q296" s="22"/>
      <c r="R296" s="22"/>
      <c r="S296" s="166" t="s">
        <v>209</v>
      </c>
    </row>
    <row r="297" spans="1:19">
      <c r="A297" s="215" t="s">
        <v>592</v>
      </c>
      <c r="B297" s="216"/>
      <c r="C297" s="216"/>
      <c r="D297" s="216"/>
      <c r="E297" s="216"/>
      <c r="F297" s="268"/>
      <c r="G297" s="216"/>
      <c r="H297" s="216"/>
      <c r="I297" s="216"/>
      <c r="J297" s="216"/>
      <c r="K297" s="216"/>
      <c r="L297" s="216"/>
      <c r="M297" s="216"/>
      <c r="N297" s="216"/>
      <c r="O297" s="216"/>
      <c r="P297" s="216"/>
      <c r="Q297" s="216"/>
      <c r="R297" s="216"/>
      <c r="S297" s="214"/>
    </row>
    <row r="298" spans="1:19">
      <c r="A298" s="209" t="s">
        <v>593</v>
      </c>
      <c r="B298" s="210"/>
      <c r="C298" s="210"/>
      <c r="D298" s="210"/>
      <c r="E298" s="210"/>
      <c r="F298" s="210"/>
      <c r="G298" s="210"/>
      <c r="H298" s="210"/>
      <c r="I298" s="210"/>
      <c r="J298" s="210"/>
      <c r="K298" s="210"/>
      <c r="L298" s="210"/>
      <c r="M298" s="210"/>
      <c r="N298" s="210"/>
      <c r="O298" s="210"/>
      <c r="P298" s="210"/>
      <c r="Q298" s="210"/>
      <c r="R298" s="210"/>
      <c r="S298" s="214"/>
    </row>
    <row r="299" spans="1:19">
      <c r="A299" s="213" t="s">
        <v>594</v>
      </c>
      <c r="B299" s="206"/>
      <c r="C299" s="213" t="s">
        <v>595</v>
      </c>
      <c r="D299" s="227" t="s">
        <v>596</v>
      </c>
      <c r="E299" s="22" t="s">
        <v>20</v>
      </c>
      <c r="F299" s="233" t="s">
        <v>597</v>
      </c>
      <c r="G299" s="25" t="s">
        <v>598</v>
      </c>
      <c r="H299" s="26"/>
      <c r="I299" s="26"/>
      <c r="J299" s="26"/>
      <c r="K299" s="22"/>
      <c r="L299" s="22"/>
      <c r="M299" s="22"/>
      <c r="N299" s="22"/>
      <c r="O299" s="22"/>
      <c r="P299" s="35"/>
      <c r="Q299" s="22"/>
      <c r="R299" s="22"/>
      <c r="S299" s="22" t="s">
        <v>209</v>
      </c>
    </row>
    <row r="300" spans="1:19" ht="80.099999999999994">
      <c r="A300" s="213"/>
      <c r="B300" s="207"/>
      <c r="C300" s="213"/>
      <c r="D300" s="229"/>
      <c r="E300" s="22" t="s">
        <v>109</v>
      </c>
      <c r="F300" s="233"/>
      <c r="G300" s="28" t="s">
        <v>599</v>
      </c>
      <c r="H300" s="26" t="s">
        <v>600</v>
      </c>
      <c r="I300" s="26"/>
      <c r="J300" s="26"/>
      <c r="K300" s="22"/>
      <c r="L300" s="22"/>
      <c r="M300" s="22"/>
      <c r="N300" s="22"/>
      <c r="O300" s="22"/>
      <c r="P300" s="35"/>
      <c r="Q300" s="22"/>
      <c r="R300" s="22"/>
      <c r="S300" s="22" t="s">
        <v>209</v>
      </c>
    </row>
    <row r="301" spans="1:19" ht="32.1">
      <c r="A301" s="213"/>
      <c r="B301" s="208"/>
      <c r="C301" s="213"/>
      <c r="D301" s="35"/>
      <c r="E301" s="22" t="s">
        <v>167</v>
      </c>
      <c r="F301" s="233"/>
      <c r="G301" s="25" t="s">
        <v>601</v>
      </c>
      <c r="H301" s="26" t="s">
        <v>602</v>
      </c>
      <c r="I301" s="26"/>
      <c r="J301" s="26"/>
      <c r="K301" s="22"/>
      <c r="L301" s="22"/>
      <c r="M301" s="22"/>
      <c r="N301" s="22"/>
      <c r="O301" s="22"/>
      <c r="P301" s="35"/>
      <c r="Q301" s="22"/>
      <c r="R301" s="22"/>
      <c r="S301" s="22" t="s">
        <v>209</v>
      </c>
    </row>
    <row r="302" spans="1:19">
      <c r="A302" s="218" t="s">
        <v>603</v>
      </c>
      <c r="B302" s="219"/>
      <c r="C302" s="210"/>
      <c r="D302" s="210"/>
      <c r="E302" s="210"/>
      <c r="F302" s="210"/>
      <c r="G302" s="210"/>
      <c r="H302" s="210"/>
      <c r="I302" s="210"/>
      <c r="J302" s="210"/>
      <c r="K302" s="210"/>
      <c r="L302" s="210"/>
      <c r="M302" s="210"/>
      <c r="N302" s="210"/>
      <c r="O302" s="210"/>
      <c r="P302" s="210"/>
      <c r="Q302" s="210"/>
      <c r="R302" s="210"/>
      <c r="S302" s="214"/>
    </row>
    <row r="303" spans="1:19" s="25" customFormat="1">
      <c r="A303" s="213" t="s">
        <v>604</v>
      </c>
      <c r="B303" s="206">
        <v>8.3000000000000007</v>
      </c>
      <c r="C303" s="256" t="s">
        <v>595</v>
      </c>
      <c r="D303" s="227" t="s">
        <v>219</v>
      </c>
      <c r="E303" s="22" t="s">
        <v>20</v>
      </c>
      <c r="F303" s="206" t="s">
        <v>605</v>
      </c>
      <c r="G303" s="25" t="s">
        <v>503</v>
      </c>
      <c r="S303" s="22" t="s">
        <v>209</v>
      </c>
    </row>
    <row r="304" spans="1:19" s="28" customFormat="1" ht="128.1">
      <c r="A304" s="213"/>
      <c r="B304" s="207"/>
      <c r="C304" s="257"/>
      <c r="D304" s="229"/>
      <c r="E304" s="22" t="s">
        <v>109</v>
      </c>
      <c r="F304" s="207"/>
      <c r="G304" s="28" t="s">
        <v>606</v>
      </c>
      <c r="H304" s="28" t="s">
        <v>607</v>
      </c>
      <c r="S304" s="22" t="s">
        <v>209</v>
      </c>
    </row>
    <row r="305" spans="1:19" s="22" customFormat="1" ht="48">
      <c r="A305" s="213"/>
      <c r="B305" s="207"/>
      <c r="C305" s="257"/>
      <c r="D305" s="35" t="s">
        <v>608</v>
      </c>
      <c r="E305" s="22" t="s">
        <v>167</v>
      </c>
      <c r="F305" s="208"/>
      <c r="G305" s="25" t="s">
        <v>609</v>
      </c>
      <c r="H305" s="28" t="s">
        <v>610</v>
      </c>
      <c r="I305" s="106"/>
      <c r="J305" s="106"/>
      <c r="K305" s="100"/>
      <c r="L305" s="100"/>
      <c r="M305" s="100"/>
      <c r="N305" s="100"/>
      <c r="O305" s="100"/>
      <c r="P305" s="100"/>
      <c r="Q305" s="100"/>
      <c r="R305" s="100"/>
      <c r="S305" s="22" t="s">
        <v>209</v>
      </c>
    </row>
    <row r="306" spans="1:19" s="22" customFormat="1">
      <c r="A306" s="213"/>
      <c r="B306" s="207"/>
      <c r="C306" s="257"/>
      <c r="D306" s="252" t="s">
        <v>611</v>
      </c>
      <c r="E306" s="22" t="s">
        <v>20</v>
      </c>
      <c r="F306" s="206" t="s">
        <v>612</v>
      </c>
      <c r="G306" s="101" t="s">
        <v>613</v>
      </c>
      <c r="I306" s="95"/>
      <c r="J306" s="95"/>
      <c r="K306" s="100"/>
      <c r="L306" s="100"/>
      <c r="M306" s="100"/>
      <c r="N306" s="100"/>
      <c r="O306" s="100"/>
      <c r="P306" s="100"/>
      <c r="Q306" s="100"/>
      <c r="R306" s="100"/>
      <c r="S306" s="166" t="s">
        <v>209</v>
      </c>
    </row>
    <row r="307" spans="1:19" ht="111.95">
      <c r="A307" s="213"/>
      <c r="B307" s="207"/>
      <c r="C307" s="257"/>
      <c r="D307" s="253"/>
      <c r="E307" s="22" t="s">
        <v>109</v>
      </c>
      <c r="F307" s="207"/>
      <c r="G307" s="28" t="s">
        <v>614</v>
      </c>
      <c r="H307" s="26" t="s">
        <v>615</v>
      </c>
      <c r="I307" s="26"/>
      <c r="J307" s="26"/>
      <c r="K307" s="22"/>
      <c r="L307" s="22"/>
      <c r="M307" s="22"/>
      <c r="N307" s="22"/>
      <c r="O307" s="22"/>
      <c r="P307" s="35"/>
      <c r="Q307" s="22"/>
      <c r="R307" s="22"/>
      <c r="S307" s="22" t="s">
        <v>209</v>
      </c>
    </row>
    <row r="308" spans="1:19" ht="48">
      <c r="A308" s="213"/>
      <c r="B308" s="208"/>
      <c r="C308" s="258"/>
      <c r="D308" s="35" t="s">
        <v>608</v>
      </c>
      <c r="E308" s="22" t="s">
        <v>167</v>
      </c>
      <c r="F308" s="208"/>
      <c r="G308" s="28" t="s">
        <v>616</v>
      </c>
      <c r="H308" s="28" t="s">
        <v>617</v>
      </c>
      <c r="I308" s="28"/>
      <c r="J308" s="28"/>
      <c r="K308" s="22"/>
      <c r="L308" s="22"/>
      <c r="M308" s="22"/>
      <c r="N308" s="22"/>
      <c r="O308" s="22"/>
      <c r="P308" s="35"/>
      <c r="Q308" s="22"/>
      <c r="R308" s="22"/>
      <c r="S308" s="22" t="s">
        <v>209</v>
      </c>
    </row>
    <row r="309" spans="1:19">
      <c r="A309" s="224" t="s">
        <v>618</v>
      </c>
      <c r="B309" s="225"/>
      <c r="C309" s="210"/>
      <c r="D309" s="210"/>
      <c r="E309" s="210"/>
      <c r="F309" s="210"/>
      <c r="G309" s="210"/>
      <c r="H309" s="210"/>
      <c r="I309" s="210"/>
      <c r="J309" s="210"/>
      <c r="K309" s="210"/>
      <c r="L309" s="210"/>
      <c r="M309" s="210"/>
      <c r="N309" s="210"/>
      <c r="O309" s="210"/>
      <c r="P309" s="210"/>
      <c r="Q309" s="210"/>
      <c r="R309" s="210"/>
      <c r="S309" s="214"/>
    </row>
    <row r="310" spans="1:19">
      <c r="A310" s="213" t="s">
        <v>619</v>
      </c>
      <c r="B310" s="206">
        <v>8.3000000000000007</v>
      </c>
      <c r="C310" s="213" t="s">
        <v>595</v>
      </c>
      <c r="D310" s="252" t="s">
        <v>611</v>
      </c>
      <c r="E310" s="22" t="s">
        <v>20</v>
      </c>
      <c r="F310" s="234" t="s">
        <v>620</v>
      </c>
      <c r="G310" s="44" t="s">
        <v>613</v>
      </c>
      <c r="H310" s="26"/>
      <c r="I310" s="26"/>
      <c r="J310" s="26"/>
      <c r="K310" s="22"/>
      <c r="L310" s="22"/>
      <c r="M310" s="22"/>
      <c r="N310" s="22"/>
      <c r="O310" s="22"/>
      <c r="P310" s="35"/>
      <c r="Q310" s="22"/>
      <c r="R310" s="22"/>
      <c r="S310" s="22" t="s">
        <v>209</v>
      </c>
    </row>
    <row r="311" spans="1:19" ht="63.95">
      <c r="A311" s="213"/>
      <c r="B311" s="207"/>
      <c r="C311" s="213"/>
      <c r="D311" s="253"/>
      <c r="E311" s="22" t="s">
        <v>109</v>
      </c>
      <c r="F311" s="242"/>
      <c r="G311" s="28" t="s">
        <v>621</v>
      </c>
      <c r="H311" s="26" t="s">
        <v>622</v>
      </c>
      <c r="I311" s="26"/>
      <c r="J311" s="26"/>
      <c r="K311" s="22"/>
      <c r="L311" s="22"/>
      <c r="M311" s="22"/>
      <c r="N311" s="22"/>
      <c r="O311" s="22"/>
      <c r="P311" s="35"/>
      <c r="Q311" s="22"/>
      <c r="R311" s="22"/>
      <c r="S311" s="22" t="s">
        <v>209</v>
      </c>
    </row>
    <row r="312" spans="1:19" ht="32.1">
      <c r="A312" s="213"/>
      <c r="B312" s="207"/>
      <c r="C312" s="213"/>
      <c r="D312" s="35" t="s">
        <v>608</v>
      </c>
      <c r="E312" s="22" t="s">
        <v>167</v>
      </c>
      <c r="F312" s="235"/>
      <c r="G312" s="25" t="s">
        <v>623</v>
      </c>
      <c r="H312" s="158" t="s">
        <v>624</v>
      </c>
      <c r="I312" s="158"/>
      <c r="J312" s="158"/>
      <c r="K312" s="22"/>
      <c r="L312" s="22"/>
      <c r="M312" s="22"/>
      <c r="N312" s="22"/>
      <c r="O312" s="22"/>
      <c r="P312" s="35"/>
      <c r="Q312" s="22"/>
      <c r="R312" s="22"/>
      <c r="S312" s="22" t="s">
        <v>209</v>
      </c>
    </row>
    <row r="313" spans="1:19">
      <c r="A313" s="213"/>
      <c r="B313" s="207"/>
      <c r="C313" s="213"/>
      <c r="D313" s="254" t="s">
        <v>219</v>
      </c>
      <c r="E313" s="22" t="s">
        <v>20</v>
      </c>
      <c r="F313" s="234" t="s">
        <v>625</v>
      </c>
      <c r="G313" s="44" t="s">
        <v>626</v>
      </c>
      <c r="H313" s="26"/>
      <c r="I313" s="26"/>
      <c r="J313" s="26"/>
      <c r="K313" s="22"/>
      <c r="L313" s="22"/>
      <c r="M313" s="22"/>
      <c r="N313" s="22"/>
      <c r="O313" s="22"/>
      <c r="P313" s="35"/>
      <c r="Q313" s="22"/>
      <c r="R313" s="22"/>
      <c r="S313" s="22" t="s">
        <v>209</v>
      </c>
    </row>
    <row r="314" spans="1:19" ht="63.95">
      <c r="A314" s="213"/>
      <c r="B314" s="207"/>
      <c r="C314" s="213"/>
      <c r="D314" s="255"/>
      <c r="E314" s="22" t="s">
        <v>109</v>
      </c>
      <c r="F314" s="242"/>
      <c r="G314" s="28" t="s">
        <v>627</v>
      </c>
      <c r="H314" s="26" t="s">
        <v>628</v>
      </c>
      <c r="I314" s="26"/>
      <c r="J314" s="26"/>
      <c r="K314" s="22"/>
      <c r="L314" s="22"/>
      <c r="M314" s="22"/>
      <c r="N314" s="22"/>
      <c r="O314" s="22"/>
      <c r="P314" s="35"/>
      <c r="Q314" s="22"/>
      <c r="R314" s="22"/>
      <c r="S314" s="22" t="s">
        <v>209</v>
      </c>
    </row>
    <row r="315" spans="1:19" ht="32.1">
      <c r="A315" s="213"/>
      <c r="B315" s="208"/>
      <c r="C315" s="213"/>
      <c r="D315" s="35" t="s">
        <v>608</v>
      </c>
      <c r="E315" s="22" t="s">
        <v>167</v>
      </c>
      <c r="F315" s="235"/>
      <c r="G315" s="25" t="s">
        <v>629</v>
      </c>
      <c r="H315" s="158" t="s">
        <v>630</v>
      </c>
      <c r="I315" s="158"/>
      <c r="J315" s="158"/>
      <c r="K315" s="22"/>
      <c r="L315" s="22"/>
      <c r="M315" s="22"/>
      <c r="N315" s="22"/>
      <c r="O315" s="22"/>
      <c r="P315" s="35"/>
      <c r="Q315" s="22"/>
      <c r="R315" s="22"/>
      <c r="S315" s="22" t="s">
        <v>209</v>
      </c>
    </row>
    <row r="316" spans="1:19">
      <c r="A316" s="215" t="s">
        <v>631</v>
      </c>
      <c r="B316" s="216"/>
      <c r="C316" s="216"/>
      <c r="D316" s="216"/>
      <c r="E316" s="216"/>
      <c r="F316" s="216"/>
      <c r="G316" s="216"/>
      <c r="H316" s="216"/>
      <c r="I316" s="216"/>
      <c r="J316" s="216"/>
      <c r="K316" s="216"/>
      <c r="L316" s="216"/>
      <c r="M316" s="216"/>
      <c r="N316" s="216"/>
      <c r="O316" s="216"/>
      <c r="P316" s="216"/>
      <c r="Q316" s="216"/>
      <c r="R316" s="216"/>
      <c r="S316" s="214"/>
    </row>
    <row r="317" spans="1:19">
      <c r="A317" s="213" t="s">
        <v>632</v>
      </c>
      <c r="B317" s="206">
        <v>10</v>
      </c>
      <c r="C317" s="230" t="s">
        <v>633</v>
      </c>
      <c r="D317" s="232" t="s">
        <v>219</v>
      </c>
      <c r="E317" s="22" t="s">
        <v>20</v>
      </c>
      <c r="F317" s="262" t="s">
        <v>633</v>
      </c>
      <c r="G317" s="25" t="s">
        <v>634</v>
      </c>
      <c r="H317" s="26"/>
      <c r="I317" s="26"/>
      <c r="J317" s="26"/>
      <c r="K317" s="22"/>
      <c r="L317" s="22"/>
      <c r="M317" s="22"/>
      <c r="N317" s="22"/>
      <c r="O317" s="51"/>
      <c r="P317" s="47"/>
      <c r="Q317" s="22"/>
      <c r="R317" s="22"/>
      <c r="S317" s="22" t="s">
        <v>164</v>
      </c>
    </row>
    <row r="318" spans="1:19" ht="63.95">
      <c r="A318" s="213"/>
      <c r="B318" s="207"/>
      <c r="C318" s="230"/>
      <c r="D318" s="232"/>
      <c r="E318" s="22" t="s">
        <v>109</v>
      </c>
      <c r="F318" s="262"/>
      <c r="G318" s="28" t="s">
        <v>635</v>
      </c>
      <c r="H318" s="26" t="s">
        <v>636</v>
      </c>
      <c r="I318" s="26"/>
      <c r="J318" s="26"/>
      <c r="K318" s="22"/>
      <c r="L318" s="22"/>
      <c r="M318" s="22"/>
      <c r="N318" s="43"/>
      <c r="O318" s="43"/>
      <c r="P318" s="150"/>
      <c r="Q318" s="50"/>
      <c r="R318" s="22"/>
      <c r="S318" s="22" t="s">
        <v>164</v>
      </c>
    </row>
    <row r="319" spans="1:19" ht="48">
      <c r="A319" s="213" t="s">
        <v>637</v>
      </c>
      <c r="B319" s="207"/>
      <c r="C319" s="230"/>
      <c r="D319" s="232"/>
      <c r="E319" s="22" t="s">
        <v>20</v>
      </c>
      <c r="F319" s="262" t="s">
        <v>638</v>
      </c>
      <c r="G319" s="28" t="s">
        <v>639</v>
      </c>
      <c r="H319" s="26" t="s">
        <v>640</v>
      </c>
      <c r="I319" s="26"/>
      <c r="J319" s="26"/>
      <c r="K319" s="22"/>
      <c r="L319" s="22"/>
      <c r="M319" s="22"/>
      <c r="N319" s="43"/>
      <c r="O319" s="43"/>
      <c r="P319" s="159"/>
      <c r="Q319" s="50"/>
      <c r="R319" s="22"/>
      <c r="S319" s="22" t="s">
        <v>164</v>
      </c>
    </row>
    <row r="320" spans="1:19" ht="48">
      <c r="A320" s="213"/>
      <c r="B320" s="208"/>
      <c r="C320" s="230"/>
      <c r="D320" s="232"/>
      <c r="E320" s="22" t="s">
        <v>109</v>
      </c>
      <c r="F320" s="262"/>
      <c r="G320" s="25" t="s">
        <v>641</v>
      </c>
      <c r="H320" s="26" t="s">
        <v>642</v>
      </c>
      <c r="I320" s="26"/>
      <c r="J320" s="26"/>
      <c r="K320" s="22"/>
      <c r="L320" s="22"/>
      <c r="M320" s="22"/>
      <c r="N320" s="43"/>
      <c r="O320" s="43"/>
      <c r="P320" s="150"/>
      <c r="Q320" s="50"/>
      <c r="R320" s="22"/>
      <c r="S320" s="166" t="s">
        <v>164</v>
      </c>
    </row>
    <row r="321" spans="1:19">
      <c r="A321" s="215" t="s">
        <v>643</v>
      </c>
      <c r="B321" s="216"/>
      <c r="C321" s="216"/>
      <c r="D321" s="216"/>
      <c r="E321" s="216"/>
      <c r="F321" s="216"/>
      <c r="G321" s="216"/>
      <c r="H321" s="216"/>
      <c r="I321" s="216"/>
      <c r="J321" s="216"/>
      <c r="K321" s="216"/>
      <c r="L321" s="216"/>
      <c r="M321" s="216"/>
      <c r="N321" s="216"/>
      <c r="O321" s="268"/>
      <c r="P321" s="268"/>
      <c r="Q321" s="216"/>
      <c r="R321" s="216"/>
      <c r="S321" s="214"/>
    </row>
    <row r="322" spans="1:19">
      <c r="A322" s="209" t="s">
        <v>644</v>
      </c>
      <c r="B322" s="210"/>
      <c r="C322" s="210"/>
      <c r="D322" s="210"/>
      <c r="E322" s="210"/>
      <c r="F322" s="210"/>
      <c r="G322" s="210"/>
      <c r="H322" s="210"/>
      <c r="I322" s="210"/>
      <c r="J322" s="210"/>
      <c r="K322" s="210"/>
      <c r="L322" s="210"/>
      <c r="M322" s="210"/>
      <c r="N322" s="210"/>
      <c r="O322" s="210"/>
      <c r="P322" s="210"/>
      <c r="Q322" s="210"/>
      <c r="R322" s="210"/>
      <c r="S322" s="214"/>
    </row>
    <row r="323" spans="1:19">
      <c r="A323" s="213" t="s">
        <v>645</v>
      </c>
      <c r="B323" s="206"/>
      <c r="C323" s="213" t="s">
        <v>646</v>
      </c>
      <c r="D323" s="172" t="s">
        <v>647</v>
      </c>
      <c r="E323" s="22" t="s">
        <v>20</v>
      </c>
      <c r="F323" s="233" t="s">
        <v>648</v>
      </c>
      <c r="G323" s="32" t="s">
        <v>613</v>
      </c>
      <c r="H323" s="26"/>
      <c r="I323" s="26"/>
      <c r="J323" s="26"/>
      <c r="K323" s="22"/>
      <c r="L323" s="22"/>
      <c r="M323" s="22"/>
      <c r="N323" s="22"/>
      <c r="O323" s="22"/>
      <c r="P323" s="35"/>
      <c r="Q323" s="22"/>
      <c r="R323" s="22"/>
      <c r="S323" s="22" t="s">
        <v>649</v>
      </c>
    </row>
    <row r="324" spans="1:19" ht="80.099999999999994">
      <c r="A324" s="213"/>
      <c r="B324" s="207"/>
      <c r="C324" s="213"/>
      <c r="D324" s="172" t="s">
        <v>647</v>
      </c>
      <c r="E324" s="22" t="s">
        <v>109</v>
      </c>
      <c r="F324" s="233"/>
      <c r="G324" s="32" t="s">
        <v>650</v>
      </c>
      <c r="H324" s="26" t="s">
        <v>651</v>
      </c>
      <c r="I324" s="26" t="s">
        <v>652</v>
      </c>
      <c r="J324" s="26"/>
      <c r="K324" s="22"/>
      <c r="L324" s="22"/>
      <c r="M324" s="22"/>
      <c r="N324" s="22"/>
      <c r="O324" s="22"/>
      <c r="P324" s="35"/>
      <c r="Q324" s="22"/>
      <c r="R324" s="22"/>
      <c r="S324" s="22" t="s">
        <v>649</v>
      </c>
    </row>
    <row r="325" spans="1:19" ht="80.099999999999994">
      <c r="A325" s="213"/>
      <c r="B325" s="207"/>
      <c r="C325" s="213"/>
      <c r="D325" s="232" t="s">
        <v>653</v>
      </c>
      <c r="E325" s="22" t="s">
        <v>167</v>
      </c>
      <c r="F325" s="233"/>
      <c r="G325" s="33" t="s">
        <v>654</v>
      </c>
      <c r="H325" s="26" t="s">
        <v>655</v>
      </c>
      <c r="I325" s="26" t="s">
        <v>656</v>
      </c>
      <c r="J325" s="26"/>
      <c r="K325" s="22"/>
      <c r="L325" s="22"/>
      <c r="M325" s="22"/>
      <c r="N325" s="22"/>
      <c r="O325" s="22"/>
      <c r="P325" s="35"/>
      <c r="Q325" s="22"/>
      <c r="R325" s="22"/>
      <c r="S325" s="22" t="s">
        <v>649</v>
      </c>
    </row>
    <row r="326" spans="1:19">
      <c r="A326" s="213"/>
      <c r="B326" s="208"/>
      <c r="C326" s="213"/>
      <c r="D326" s="232"/>
      <c r="E326" s="22" t="s">
        <v>170</v>
      </c>
      <c r="F326" s="233"/>
      <c r="G326" s="25" t="s">
        <v>657</v>
      </c>
      <c r="H326" s="26" t="s">
        <v>658</v>
      </c>
      <c r="I326" s="26"/>
      <c r="J326" s="26"/>
      <c r="K326" s="22"/>
      <c r="L326" s="22"/>
      <c r="M326" s="22"/>
      <c r="N326" s="22"/>
      <c r="O326" s="22"/>
      <c r="P326" s="35"/>
      <c r="Q326" s="22"/>
      <c r="R326" s="22"/>
      <c r="S326" s="22" t="s">
        <v>649</v>
      </c>
    </row>
    <row r="327" spans="1:19">
      <c r="A327" s="209" t="s">
        <v>659</v>
      </c>
      <c r="B327" s="210"/>
      <c r="C327" s="210"/>
      <c r="D327" s="210"/>
      <c r="E327" s="210"/>
      <c r="F327" s="210"/>
      <c r="G327" s="210"/>
      <c r="H327" s="210"/>
      <c r="I327" s="210"/>
      <c r="J327" s="210"/>
      <c r="K327" s="210"/>
      <c r="L327" s="210"/>
      <c r="M327" s="210"/>
      <c r="N327" s="210"/>
      <c r="O327" s="210"/>
      <c r="P327" s="210"/>
      <c r="Q327" s="210"/>
      <c r="R327" s="210"/>
      <c r="S327" s="214"/>
    </row>
    <row r="328" spans="1:19">
      <c r="A328" s="213" t="s">
        <v>660</v>
      </c>
      <c r="B328" s="206"/>
      <c r="C328" s="230" t="s">
        <v>646</v>
      </c>
      <c r="D328" s="232" t="s">
        <v>653</v>
      </c>
      <c r="E328" s="22" t="s">
        <v>20</v>
      </c>
      <c r="F328" s="262" t="s">
        <v>661</v>
      </c>
      <c r="G328" s="32" t="s">
        <v>613</v>
      </c>
      <c r="H328" s="26"/>
      <c r="I328" s="26"/>
      <c r="J328" s="26"/>
      <c r="K328" s="22"/>
      <c r="L328" s="22"/>
      <c r="M328" s="22"/>
      <c r="N328" s="22"/>
      <c r="O328" s="22"/>
      <c r="P328" s="35"/>
      <c r="Q328" s="22"/>
      <c r="R328" s="22"/>
      <c r="S328" s="22" t="s">
        <v>209</v>
      </c>
    </row>
    <row r="329" spans="1:19" ht="48">
      <c r="A329" s="213"/>
      <c r="B329" s="208"/>
      <c r="C329" s="230"/>
      <c r="D329" s="232"/>
      <c r="E329" s="22" t="s">
        <v>109</v>
      </c>
      <c r="F329" s="262"/>
      <c r="G329" s="32" t="s">
        <v>662</v>
      </c>
      <c r="H329" s="26" t="s">
        <v>663</v>
      </c>
      <c r="I329" s="26"/>
      <c r="J329" s="26"/>
      <c r="K329" s="22"/>
      <c r="L329" s="22"/>
      <c r="M329" s="22"/>
      <c r="N329" s="22"/>
      <c r="O329" s="22"/>
      <c r="P329" s="150"/>
      <c r="Q329" s="22"/>
      <c r="R329" s="22"/>
      <c r="S329" s="22" t="s">
        <v>209</v>
      </c>
    </row>
    <row r="330" spans="1:19">
      <c r="A330" s="215" t="s">
        <v>664</v>
      </c>
      <c r="B330" s="216"/>
      <c r="C330" s="216"/>
      <c r="D330" s="216"/>
      <c r="E330" s="216"/>
      <c r="F330" s="216"/>
      <c r="G330" s="216"/>
      <c r="H330" s="216"/>
      <c r="I330" s="216"/>
      <c r="J330" s="216"/>
      <c r="K330" s="216"/>
      <c r="L330" s="216"/>
      <c r="M330" s="216"/>
      <c r="N330" s="216"/>
      <c r="O330" s="216"/>
      <c r="P330" s="216"/>
      <c r="Q330" s="216"/>
      <c r="R330" s="216"/>
      <c r="S330" s="214"/>
    </row>
    <row r="331" spans="1:19" ht="32.1">
      <c r="A331" s="21" t="s">
        <v>665</v>
      </c>
      <c r="B331" s="21">
        <v>11.5</v>
      </c>
      <c r="C331" s="24" t="s">
        <v>666</v>
      </c>
      <c r="D331" s="172" t="s">
        <v>219</v>
      </c>
      <c r="E331" s="22" t="s">
        <v>20</v>
      </c>
      <c r="F331" s="49" t="s">
        <v>666</v>
      </c>
      <c r="G331" s="25" t="s">
        <v>667</v>
      </c>
      <c r="H331" s="26" t="s">
        <v>668</v>
      </c>
      <c r="I331" s="26"/>
      <c r="J331" s="26"/>
      <c r="K331" s="22"/>
      <c r="L331" s="22"/>
      <c r="M331" s="22"/>
      <c r="N331" s="22"/>
      <c r="O331" s="22"/>
      <c r="P331" s="35"/>
      <c r="Q331" s="22"/>
      <c r="R331" s="22"/>
      <c r="S331" s="53" t="s">
        <v>164</v>
      </c>
    </row>
    <row r="332" spans="1:19">
      <c r="A332" s="215" t="s">
        <v>98</v>
      </c>
      <c r="B332" s="216"/>
      <c r="C332" s="216"/>
      <c r="D332" s="216"/>
      <c r="E332" s="216"/>
      <c r="F332" s="216"/>
      <c r="G332" s="216"/>
      <c r="H332" s="216"/>
      <c r="I332" s="216"/>
      <c r="J332" s="216"/>
      <c r="K332" s="216"/>
      <c r="L332" s="216"/>
      <c r="M332" s="216"/>
      <c r="N332" s="216"/>
      <c r="O332" s="216"/>
      <c r="P332" s="216"/>
      <c r="Q332" s="216"/>
      <c r="R332" s="216"/>
      <c r="S332" s="214"/>
    </row>
    <row r="333" spans="1:19">
      <c r="A333" s="209" t="s">
        <v>669</v>
      </c>
      <c r="B333" s="210"/>
      <c r="C333" s="210"/>
      <c r="D333" s="210"/>
      <c r="E333" s="210"/>
      <c r="F333" s="210"/>
      <c r="G333" s="210"/>
      <c r="H333" s="210"/>
      <c r="I333" s="210"/>
      <c r="J333" s="210"/>
      <c r="K333" s="210"/>
      <c r="L333" s="210"/>
      <c r="M333" s="210"/>
      <c r="N333" s="210"/>
      <c r="O333" s="210"/>
      <c r="P333" s="210"/>
      <c r="Q333" s="210"/>
      <c r="R333" s="210"/>
      <c r="S333" s="214"/>
    </row>
    <row r="334" spans="1:19">
      <c r="A334" s="206" t="s">
        <v>670</v>
      </c>
      <c r="B334" s="206">
        <v>9</v>
      </c>
      <c r="C334" s="231" t="s">
        <v>671</v>
      </c>
      <c r="D334" s="227" t="s">
        <v>672</v>
      </c>
      <c r="E334" s="22" t="s">
        <v>20</v>
      </c>
      <c r="F334" s="259" t="s">
        <v>671</v>
      </c>
      <c r="G334" s="25" t="s">
        <v>485</v>
      </c>
      <c r="H334" s="26"/>
      <c r="I334" s="26"/>
      <c r="J334" s="26"/>
      <c r="K334" s="22"/>
      <c r="L334" s="22"/>
      <c r="M334" s="22"/>
      <c r="N334" s="22"/>
      <c r="O334" s="22"/>
      <c r="P334" s="35"/>
      <c r="Q334" s="22"/>
      <c r="R334" s="22"/>
      <c r="S334" s="22" t="s">
        <v>209</v>
      </c>
    </row>
    <row r="335" spans="1:19" ht="63.95">
      <c r="A335" s="207"/>
      <c r="B335" s="207"/>
      <c r="C335" s="250"/>
      <c r="D335" s="228"/>
      <c r="E335" s="22" t="s">
        <v>109</v>
      </c>
      <c r="F335" s="260"/>
      <c r="G335" s="26" t="s">
        <v>673</v>
      </c>
      <c r="H335" s="26" t="s">
        <v>674</v>
      </c>
      <c r="I335" s="26"/>
      <c r="J335" s="26"/>
      <c r="K335" s="22"/>
      <c r="L335" s="22"/>
      <c r="M335" s="22"/>
      <c r="N335" s="22"/>
      <c r="P335" s="160"/>
      <c r="Q335" s="22"/>
      <c r="R335" s="22"/>
      <c r="S335" s="22" t="s">
        <v>209</v>
      </c>
    </row>
    <row r="336" spans="1:19" ht="111.95">
      <c r="A336" s="208"/>
      <c r="B336" s="208"/>
      <c r="C336" s="251"/>
      <c r="D336" s="229"/>
      <c r="E336" s="22" t="s">
        <v>167</v>
      </c>
      <c r="F336" s="261"/>
      <c r="G336" s="28" t="s">
        <v>675</v>
      </c>
      <c r="H336" s="26" t="s">
        <v>676</v>
      </c>
      <c r="I336" s="26"/>
      <c r="J336" s="26"/>
      <c r="K336" s="22"/>
      <c r="L336" s="22"/>
      <c r="M336" s="22"/>
      <c r="N336" s="22"/>
      <c r="O336" s="22"/>
      <c r="P336" s="150"/>
      <c r="Q336" s="22"/>
      <c r="R336" s="22"/>
      <c r="S336" s="22" t="s">
        <v>209</v>
      </c>
    </row>
    <row r="337" spans="1:19">
      <c r="A337" s="215" t="s">
        <v>677</v>
      </c>
      <c r="B337" s="216"/>
      <c r="C337" s="216"/>
      <c r="D337" s="216"/>
      <c r="E337" s="216"/>
      <c r="F337" s="216"/>
      <c r="G337" s="216"/>
      <c r="H337" s="216"/>
      <c r="I337" s="216"/>
      <c r="J337" s="216"/>
      <c r="K337" s="216"/>
      <c r="L337" s="216"/>
      <c r="M337" s="216"/>
      <c r="N337" s="216"/>
      <c r="O337" s="216"/>
      <c r="P337" s="216"/>
      <c r="Q337" s="216"/>
      <c r="R337" s="216"/>
      <c r="S337" s="277"/>
    </row>
    <row r="338" spans="1:19">
      <c r="A338" s="209" t="s">
        <v>678</v>
      </c>
      <c r="B338" s="210"/>
      <c r="C338" s="210"/>
      <c r="D338" s="210"/>
      <c r="E338" s="210"/>
      <c r="F338" s="210"/>
      <c r="G338" s="210"/>
      <c r="H338" s="210"/>
      <c r="I338" s="210"/>
      <c r="J338" s="210"/>
      <c r="K338" s="210"/>
      <c r="L338" s="210"/>
      <c r="M338" s="210"/>
      <c r="N338" s="210"/>
      <c r="O338" s="210"/>
      <c r="P338" s="210"/>
      <c r="Q338" s="210"/>
      <c r="R338" s="210"/>
      <c r="S338" s="214"/>
    </row>
    <row r="339" spans="1:19">
      <c r="A339" s="256" t="s">
        <v>679</v>
      </c>
      <c r="B339" s="206">
        <v>5.2</v>
      </c>
      <c r="C339" s="231" t="s">
        <v>680</v>
      </c>
      <c r="D339" s="35" t="s">
        <v>681</v>
      </c>
      <c r="E339" s="54" t="s">
        <v>20</v>
      </c>
      <c r="F339" s="234" t="s">
        <v>680</v>
      </c>
      <c r="G339" s="26" t="s">
        <v>598</v>
      </c>
      <c r="H339" s="26"/>
      <c r="I339" s="26"/>
      <c r="J339" s="26"/>
      <c r="K339" s="54"/>
      <c r="L339" s="54"/>
      <c r="M339" s="54"/>
      <c r="N339" s="54"/>
      <c r="O339" s="54"/>
      <c r="P339" s="26"/>
      <c r="Q339" s="54"/>
      <c r="R339" s="54"/>
      <c r="S339" s="22" t="s">
        <v>164</v>
      </c>
    </row>
    <row r="340" spans="1:19" ht="128.1">
      <c r="A340" s="257"/>
      <c r="B340" s="207"/>
      <c r="C340" s="250"/>
      <c r="D340" s="35" t="s">
        <v>681</v>
      </c>
      <c r="E340" s="54" t="s">
        <v>109</v>
      </c>
      <c r="F340" s="242"/>
      <c r="G340" s="26" t="s">
        <v>682</v>
      </c>
      <c r="H340" s="26" t="s">
        <v>683</v>
      </c>
      <c r="I340" s="26" t="s">
        <v>684</v>
      </c>
      <c r="J340" s="26"/>
      <c r="K340" s="54"/>
      <c r="L340" s="54"/>
      <c r="M340" s="54"/>
      <c r="N340" s="54"/>
      <c r="O340" s="54"/>
      <c r="P340" s="159"/>
      <c r="Q340" s="54"/>
      <c r="R340" s="54"/>
      <c r="S340" s="22" t="s">
        <v>164</v>
      </c>
    </row>
    <row r="341" spans="1:19">
      <c r="A341" s="257"/>
      <c r="B341" s="207"/>
      <c r="C341" s="250"/>
      <c r="D341" s="35" t="s">
        <v>681</v>
      </c>
      <c r="E341" s="54" t="s">
        <v>167</v>
      </c>
      <c r="F341" s="242"/>
      <c r="G341" s="26" t="s">
        <v>685</v>
      </c>
      <c r="H341" s="26" t="s">
        <v>686</v>
      </c>
      <c r="I341" s="26" t="s">
        <v>687</v>
      </c>
      <c r="J341" s="26"/>
      <c r="K341" s="54"/>
      <c r="L341" s="54"/>
      <c r="M341" s="54"/>
      <c r="N341" s="54"/>
      <c r="O341" s="54"/>
      <c r="P341" s="26"/>
      <c r="Q341" s="54"/>
      <c r="R341" s="54"/>
      <c r="S341" s="22" t="s">
        <v>164</v>
      </c>
    </row>
    <row r="342" spans="1:19" ht="32.1">
      <c r="A342" s="257"/>
      <c r="B342" s="207"/>
      <c r="C342" s="250"/>
      <c r="D342" s="35" t="s">
        <v>681</v>
      </c>
      <c r="E342" s="54" t="s">
        <v>170</v>
      </c>
      <c r="F342" s="235"/>
      <c r="G342" s="26" t="s">
        <v>688</v>
      </c>
      <c r="H342" s="26" t="s">
        <v>689</v>
      </c>
      <c r="I342" s="26" t="s">
        <v>690</v>
      </c>
      <c r="J342" s="26"/>
      <c r="K342" s="54"/>
      <c r="L342" s="54"/>
      <c r="M342" s="54"/>
      <c r="N342" s="54"/>
      <c r="O342" s="125"/>
      <c r="P342" s="161"/>
      <c r="Q342" s="54"/>
      <c r="R342" s="54"/>
      <c r="S342" s="22" t="s">
        <v>164</v>
      </c>
    </row>
    <row r="343" spans="1:19" ht="32.1">
      <c r="A343" s="207" t="s">
        <v>691</v>
      </c>
      <c r="B343" s="207"/>
      <c r="C343" s="250"/>
      <c r="D343" s="35" t="s">
        <v>692</v>
      </c>
      <c r="E343" s="54" t="s">
        <v>20</v>
      </c>
      <c r="F343" s="148" t="s">
        <v>693</v>
      </c>
      <c r="G343" s="26" t="s">
        <v>694</v>
      </c>
      <c r="H343" s="26" t="s">
        <v>695</v>
      </c>
      <c r="I343" s="26" t="s">
        <v>696</v>
      </c>
      <c r="J343" s="26"/>
      <c r="K343" s="54"/>
      <c r="L343" s="54"/>
      <c r="M343" s="54"/>
      <c r="N343" s="126"/>
      <c r="O343" s="126"/>
      <c r="P343" s="159"/>
      <c r="Q343" s="127"/>
      <c r="R343" s="54"/>
      <c r="S343" s="22" t="s">
        <v>164</v>
      </c>
    </row>
    <row r="344" spans="1:19" ht="32.1">
      <c r="A344" s="208"/>
      <c r="B344" s="208"/>
      <c r="C344" s="251"/>
      <c r="D344" s="35" t="s">
        <v>681</v>
      </c>
      <c r="E344" s="54" t="s">
        <v>109</v>
      </c>
      <c r="F344" s="149"/>
      <c r="G344" s="26" t="s">
        <v>697</v>
      </c>
      <c r="H344" s="26" t="s">
        <v>698</v>
      </c>
      <c r="I344" s="26"/>
      <c r="J344" s="26"/>
      <c r="K344" s="54"/>
      <c r="L344" s="54"/>
      <c r="M344" s="54"/>
      <c r="N344" s="54"/>
      <c r="O344" s="128"/>
      <c r="P344" s="162"/>
      <c r="Q344" s="54"/>
      <c r="R344" s="54"/>
      <c r="S344" s="22" t="s">
        <v>164</v>
      </c>
    </row>
    <row r="345" spans="1:19">
      <c r="A345" s="209" t="s">
        <v>699</v>
      </c>
      <c r="B345" s="210"/>
      <c r="C345" s="210"/>
      <c r="D345" s="210"/>
      <c r="E345" s="210"/>
      <c r="F345" s="210"/>
      <c r="G345" s="210"/>
      <c r="H345" s="210"/>
      <c r="I345" s="210"/>
      <c r="J345" s="210"/>
      <c r="K345" s="210"/>
      <c r="L345" s="210"/>
      <c r="M345" s="210"/>
      <c r="N345" s="210"/>
      <c r="O345" s="210"/>
      <c r="P345" s="210"/>
      <c r="Q345" s="210"/>
      <c r="R345" s="210"/>
      <c r="S345" s="211"/>
    </row>
    <row r="346" spans="1:19">
      <c r="A346" s="206" t="s">
        <v>700</v>
      </c>
      <c r="B346" s="206">
        <v>6.2</v>
      </c>
      <c r="C346" s="231" t="s">
        <v>701</v>
      </c>
      <c r="D346" s="227" t="s">
        <v>702</v>
      </c>
      <c r="E346" s="54" t="s">
        <v>20</v>
      </c>
      <c r="F346" s="148" t="s">
        <v>701</v>
      </c>
      <c r="G346" s="26" t="s">
        <v>485</v>
      </c>
      <c r="H346" s="26" t="s">
        <v>486</v>
      </c>
      <c r="I346" s="26"/>
      <c r="J346" s="26"/>
      <c r="K346" s="54"/>
      <c r="L346" s="54"/>
      <c r="M346" s="54"/>
      <c r="N346" s="54"/>
      <c r="O346" s="54"/>
      <c r="P346" s="26"/>
      <c r="Q346" s="54"/>
      <c r="R346" s="54"/>
      <c r="S346" s="22" t="s">
        <v>164</v>
      </c>
    </row>
    <row r="347" spans="1:19" ht="48">
      <c r="A347" s="208"/>
      <c r="B347" s="208"/>
      <c r="C347" s="251"/>
      <c r="D347" s="229"/>
      <c r="E347" s="54" t="s">
        <v>109</v>
      </c>
      <c r="F347" s="149"/>
      <c r="G347" s="26" t="s">
        <v>703</v>
      </c>
      <c r="H347" s="26" t="s">
        <v>704</v>
      </c>
      <c r="I347" s="26"/>
      <c r="J347" s="26"/>
      <c r="K347" s="54"/>
      <c r="L347" s="54"/>
      <c r="M347" s="54"/>
      <c r="N347" s="54"/>
      <c r="O347" s="54"/>
      <c r="P347" s="159"/>
      <c r="Q347" s="54"/>
      <c r="R347" s="54"/>
      <c r="S347" s="22" t="s">
        <v>164</v>
      </c>
    </row>
    <row r="348" spans="1:19">
      <c r="A348" s="209" t="s">
        <v>705</v>
      </c>
      <c r="B348" s="210"/>
      <c r="C348" s="210"/>
      <c r="D348" s="210"/>
      <c r="E348" s="210"/>
      <c r="F348" s="210"/>
      <c r="G348" s="210"/>
      <c r="H348" s="210"/>
      <c r="I348" s="210"/>
      <c r="J348" s="210"/>
      <c r="K348" s="210"/>
      <c r="L348" s="210"/>
      <c r="M348" s="210"/>
      <c r="N348" s="210"/>
      <c r="O348" s="210"/>
      <c r="P348" s="210"/>
      <c r="Q348" s="210"/>
      <c r="R348" s="210"/>
      <c r="S348" s="214"/>
    </row>
    <row r="349" spans="1:19">
      <c r="A349" s="206" t="s">
        <v>706</v>
      </c>
      <c r="B349" s="206">
        <v>8.5</v>
      </c>
      <c r="C349" s="231" t="s">
        <v>707</v>
      </c>
      <c r="D349" s="227" t="s">
        <v>681</v>
      </c>
      <c r="E349" s="22" t="s">
        <v>20</v>
      </c>
      <c r="F349" s="234" t="s">
        <v>707</v>
      </c>
      <c r="G349" s="25" t="s">
        <v>708</v>
      </c>
      <c r="H349" s="26"/>
      <c r="I349" s="26"/>
      <c r="J349" s="26"/>
      <c r="K349" s="22"/>
      <c r="L349" s="22"/>
      <c r="M349" s="22"/>
      <c r="N349" s="22"/>
      <c r="O349" s="22"/>
      <c r="P349" s="35"/>
      <c r="Q349" s="22"/>
      <c r="R349" s="22"/>
      <c r="S349" s="22" t="s">
        <v>164</v>
      </c>
    </row>
    <row r="350" spans="1:19" ht="96">
      <c r="A350" s="207"/>
      <c r="B350" s="207"/>
      <c r="C350" s="250"/>
      <c r="D350" s="229"/>
      <c r="E350" s="22" t="s">
        <v>109</v>
      </c>
      <c r="F350" s="235"/>
      <c r="G350" s="34" t="s">
        <v>504</v>
      </c>
      <c r="H350" s="26" t="s">
        <v>709</v>
      </c>
      <c r="I350" s="26"/>
      <c r="J350" s="26"/>
      <c r="K350" s="22"/>
      <c r="L350" s="22"/>
      <c r="M350" s="22"/>
      <c r="N350" s="22"/>
      <c r="O350" s="22"/>
      <c r="P350" s="150"/>
      <c r="Q350" s="22"/>
      <c r="R350" s="22"/>
      <c r="S350" s="22" t="s">
        <v>164</v>
      </c>
    </row>
    <row r="351" spans="1:19" ht="32.1">
      <c r="A351" s="207"/>
      <c r="B351" s="207"/>
      <c r="C351" s="250"/>
      <c r="D351" s="35" t="s">
        <v>710</v>
      </c>
      <c r="E351" s="22" t="s">
        <v>170</v>
      </c>
      <c r="F351" s="234" t="s">
        <v>711</v>
      </c>
      <c r="G351" s="34" t="s">
        <v>512</v>
      </c>
      <c r="H351" s="26" t="s">
        <v>513</v>
      </c>
      <c r="I351" s="26"/>
      <c r="J351" s="26"/>
      <c r="K351" s="35"/>
      <c r="L351" s="35"/>
      <c r="M351" s="22"/>
      <c r="N351" s="22"/>
      <c r="O351" s="22"/>
      <c r="P351" s="150"/>
      <c r="Q351" s="163"/>
      <c r="R351" s="50"/>
      <c r="S351" s="22" t="s">
        <v>164</v>
      </c>
    </row>
    <row r="352" spans="1:19" ht="48">
      <c r="A352" s="207"/>
      <c r="B352" s="207"/>
      <c r="C352" s="250"/>
      <c r="D352" s="35" t="s">
        <v>692</v>
      </c>
      <c r="E352" s="22" t="s">
        <v>173</v>
      </c>
      <c r="F352" s="242"/>
      <c r="G352" s="34" t="s">
        <v>514</v>
      </c>
      <c r="H352" s="26" t="s">
        <v>513</v>
      </c>
      <c r="I352" s="26"/>
      <c r="J352" s="26"/>
      <c r="K352" s="22"/>
      <c r="L352" s="22"/>
      <c r="M352" s="22"/>
      <c r="N352" s="22"/>
      <c r="O352" s="22"/>
      <c r="P352" s="150"/>
      <c r="Q352" s="22"/>
      <c r="R352" s="22"/>
      <c r="S352" s="22" t="s">
        <v>164</v>
      </c>
    </row>
    <row r="353" spans="1:20" ht="32.1">
      <c r="A353" s="207"/>
      <c r="B353" s="207"/>
      <c r="C353" s="250"/>
      <c r="D353" s="35" t="s">
        <v>692</v>
      </c>
      <c r="E353" s="22" t="s">
        <v>176</v>
      </c>
      <c r="F353" s="242"/>
      <c r="G353" s="34" t="s">
        <v>515</v>
      </c>
      <c r="H353" s="26" t="s">
        <v>712</v>
      </c>
      <c r="I353" s="26"/>
      <c r="J353" s="26"/>
      <c r="K353" s="22"/>
      <c r="L353" s="22"/>
      <c r="M353" s="22"/>
      <c r="N353" s="22"/>
      <c r="O353" s="22"/>
      <c r="P353" s="150"/>
      <c r="Q353" s="22"/>
      <c r="R353" s="22"/>
      <c r="S353" s="22" t="s">
        <v>164</v>
      </c>
    </row>
    <row r="354" spans="1:20" ht="48">
      <c r="A354" s="208"/>
      <c r="B354" s="208"/>
      <c r="C354" s="251"/>
      <c r="D354" s="35" t="s">
        <v>608</v>
      </c>
      <c r="E354" s="22" t="s">
        <v>181</v>
      </c>
      <c r="F354" s="235"/>
      <c r="G354" s="34" t="s">
        <v>517</v>
      </c>
      <c r="H354" s="26" t="s">
        <v>518</v>
      </c>
      <c r="I354" s="26"/>
      <c r="J354" s="26"/>
      <c r="K354" s="22"/>
      <c r="L354" s="22"/>
      <c r="M354" s="22"/>
      <c r="N354" s="22"/>
      <c r="O354" s="22"/>
      <c r="P354" s="150"/>
      <c r="Q354" s="22"/>
      <c r="R354" s="22"/>
      <c r="S354" s="22" t="s">
        <v>164</v>
      </c>
    </row>
    <row r="355" spans="1:20">
      <c r="A355" s="209" t="s">
        <v>713</v>
      </c>
      <c r="B355" s="210"/>
      <c r="C355" s="210"/>
      <c r="D355" s="210"/>
      <c r="E355" s="210"/>
      <c r="F355" s="210"/>
      <c r="G355" s="210"/>
      <c r="H355" s="210"/>
      <c r="I355" s="210"/>
      <c r="J355" s="210"/>
      <c r="K355" s="210"/>
      <c r="L355" s="210"/>
      <c r="M355" s="210"/>
      <c r="N355" s="210"/>
      <c r="O355" s="210"/>
      <c r="P355" s="210"/>
      <c r="Q355" s="210"/>
      <c r="R355" s="210"/>
      <c r="S355" s="214"/>
    </row>
    <row r="356" spans="1:20">
      <c r="A356" s="271" t="s">
        <v>714</v>
      </c>
      <c r="B356" s="272"/>
      <c r="C356" s="272"/>
      <c r="D356" s="272"/>
      <c r="E356" s="272"/>
      <c r="F356" s="272"/>
      <c r="G356" s="272"/>
      <c r="H356" s="272"/>
      <c r="I356" s="272"/>
      <c r="J356" s="272"/>
      <c r="K356" s="272"/>
      <c r="L356" s="272"/>
      <c r="M356" s="272"/>
      <c r="N356" s="272"/>
      <c r="O356" s="272"/>
      <c r="P356" s="272"/>
      <c r="Q356" s="272"/>
      <c r="R356" s="272"/>
      <c r="S356" s="214"/>
    </row>
    <row r="357" spans="1:20">
      <c r="A357" s="206" t="s">
        <v>715</v>
      </c>
      <c r="B357" s="206"/>
      <c r="C357" s="231" t="s">
        <v>716</v>
      </c>
      <c r="D357" s="227" t="s">
        <v>681</v>
      </c>
      <c r="E357" s="22" t="s">
        <v>20</v>
      </c>
      <c r="F357" s="234" t="s">
        <v>671</v>
      </c>
      <c r="G357" s="32" t="s">
        <v>613</v>
      </c>
      <c r="H357" s="26"/>
      <c r="I357" s="26"/>
      <c r="J357" s="26"/>
      <c r="K357" s="22"/>
      <c r="L357" s="22"/>
      <c r="M357" s="22"/>
      <c r="N357" s="22"/>
      <c r="O357" s="22"/>
      <c r="P357" s="150"/>
      <c r="Q357" s="22"/>
      <c r="R357" s="22"/>
      <c r="S357" s="22" t="s">
        <v>209</v>
      </c>
    </row>
    <row r="358" spans="1:20" ht="63.95">
      <c r="A358" s="207"/>
      <c r="B358" s="207"/>
      <c r="C358" s="250"/>
      <c r="D358" s="228"/>
      <c r="E358" s="22" t="s">
        <v>109</v>
      </c>
      <c r="F358" s="235"/>
      <c r="G358" s="33" t="s">
        <v>717</v>
      </c>
      <c r="H358" s="26" t="s">
        <v>718</v>
      </c>
      <c r="I358" s="26"/>
      <c r="J358" s="26"/>
      <c r="K358" s="22"/>
      <c r="L358" s="22"/>
      <c r="M358" s="22"/>
      <c r="N358" s="22"/>
      <c r="O358" s="22"/>
      <c r="P358" s="150"/>
      <c r="Q358" s="22"/>
      <c r="R358" s="22"/>
      <c r="S358" s="22" t="s">
        <v>209</v>
      </c>
    </row>
    <row r="359" spans="1:20">
      <c r="A359" s="207"/>
      <c r="B359" s="207"/>
      <c r="C359" s="250"/>
      <c r="D359" s="228"/>
      <c r="E359" s="22" t="s">
        <v>167</v>
      </c>
      <c r="F359" s="234" t="s">
        <v>719</v>
      </c>
      <c r="G359" s="33" t="s">
        <v>613</v>
      </c>
      <c r="H359" s="26"/>
      <c r="I359" s="26"/>
      <c r="J359" s="26"/>
      <c r="K359" s="22"/>
      <c r="L359" s="22"/>
      <c r="M359" s="22"/>
      <c r="N359" s="22"/>
      <c r="O359" s="22"/>
      <c r="P359" s="35"/>
      <c r="Q359" s="22"/>
      <c r="R359" s="22"/>
      <c r="S359" s="22" t="s">
        <v>209</v>
      </c>
    </row>
    <row r="360" spans="1:20" ht="48">
      <c r="A360" s="207"/>
      <c r="B360" s="207"/>
      <c r="C360" s="250"/>
      <c r="D360" s="229"/>
      <c r="E360" s="22" t="s">
        <v>170</v>
      </c>
      <c r="F360" s="235"/>
      <c r="G360" s="33" t="s">
        <v>720</v>
      </c>
      <c r="H360" s="26" t="s">
        <v>721</v>
      </c>
      <c r="I360" s="26"/>
      <c r="J360" s="26"/>
      <c r="K360" s="22"/>
      <c r="L360" s="22"/>
      <c r="M360" s="22"/>
      <c r="N360" s="22"/>
      <c r="O360" s="22"/>
      <c r="P360" s="150"/>
      <c r="Q360" s="22"/>
      <c r="R360" s="22"/>
      <c r="S360" s="22" t="s">
        <v>209</v>
      </c>
    </row>
    <row r="361" spans="1:20">
      <c r="A361" s="207"/>
      <c r="B361" s="207"/>
      <c r="C361" s="250"/>
      <c r="D361" s="227" t="s">
        <v>722</v>
      </c>
      <c r="E361" s="22" t="s">
        <v>173</v>
      </c>
      <c r="F361" s="234" t="s">
        <v>723</v>
      </c>
      <c r="G361" s="33" t="s">
        <v>613</v>
      </c>
      <c r="H361" s="26"/>
      <c r="I361" s="26"/>
      <c r="J361" s="26"/>
      <c r="K361" s="22"/>
      <c r="L361" s="22"/>
      <c r="M361" s="22"/>
      <c r="N361" s="22"/>
      <c r="O361" s="22"/>
      <c r="P361" s="35"/>
      <c r="Q361" s="22"/>
      <c r="R361" s="22"/>
      <c r="S361" s="22" t="s">
        <v>209</v>
      </c>
    </row>
    <row r="362" spans="1:20" ht="48">
      <c r="A362" s="207"/>
      <c r="B362" s="207"/>
      <c r="C362" s="250"/>
      <c r="D362" s="228"/>
      <c r="E362" s="22" t="s">
        <v>176</v>
      </c>
      <c r="F362" s="242"/>
      <c r="G362" s="33" t="s">
        <v>724</v>
      </c>
      <c r="H362" s="26" t="s">
        <v>725</v>
      </c>
      <c r="I362" s="26"/>
      <c r="J362" s="26"/>
      <c r="K362" s="22"/>
      <c r="L362" s="22"/>
      <c r="M362" s="22"/>
      <c r="N362" s="22"/>
      <c r="O362" s="22"/>
      <c r="P362" s="150"/>
      <c r="Q362" s="22"/>
      <c r="R362" s="22"/>
      <c r="S362" s="22" t="s">
        <v>209</v>
      </c>
    </row>
    <row r="363" spans="1:20" ht="63.95">
      <c r="A363" s="208"/>
      <c r="B363" s="208"/>
      <c r="C363" s="251"/>
      <c r="D363" s="229"/>
      <c r="E363" s="22" t="s">
        <v>181</v>
      </c>
      <c r="F363" s="235"/>
      <c r="G363" s="25" t="s">
        <v>726</v>
      </c>
      <c r="H363" s="26" t="s">
        <v>727</v>
      </c>
      <c r="I363" s="26"/>
      <c r="J363" s="26"/>
      <c r="K363" s="22"/>
      <c r="L363" s="22"/>
      <c r="M363" s="22"/>
      <c r="N363" s="22"/>
      <c r="O363" s="22"/>
      <c r="P363" s="35"/>
      <c r="Q363" s="22"/>
      <c r="R363" s="22"/>
      <c r="S363" s="22" t="s">
        <v>209</v>
      </c>
    </row>
    <row r="364" spans="1:20">
      <c r="A364" s="271" t="s">
        <v>714</v>
      </c>
      <c r="B364" s="272"/>
      <c r="C364" s="272"/>
      <c r="D364" s="272"/>
      <c r="E364" s="272"/>
      <c r="F364" s="272"/>
      <c r="G364" s="272"/>
      <c r="H364" s="272"/>
      <c r="I364" s="272"/>
      <c r="J364" s="272"/>
      <c r="K364" s="272"/>
      <c r="L364" s="272"/>
      <c r="M364" s="272"/>
      <c r="N364" s="272"/>
      <c r="O364" s="272"/>
      <c r="P364" s="272"/>
      <c r="Q364" s="272"/>
      <c r="R364" s="272"/>
      <c r="S364" s="214"/>
    </row>
    <row r="365" spans="1:20">
      <c r="A365" s="206" t="s">
        <v>728</v>
      </c>
      <c r="B365" s="206"/>
      <c r="C365" s="231" t="s">
        <v>716</v>
      </c>
      <c r="D365" s="227" t="s">
        <v>681</v>
      </c>
      <c r="E365" s="22" t="s">
        <v>20</v>
      </c>
      <c r="F365" s="234" t="s">
        <v>729</v>
      </c>
      <c r="G365" s="25" t="s">
        <v>613</v>
      </c>
      <c r="H365" s="26"/>
      <c r="I365" s="26"/>
      <c r="J365" s="26"/>
      <c r="K365" s="22"/>
      <c r="L365" s="22"/>
      <c r="M365" s="22"/>
      <c r="N365" s="22"/>
      <c r="O365" s="22"/>
      <c r="P365" s="150"/>
      <c r="Q365" s="22"/>
      <c r="R365" s="22"/>
      <c r="S365" s="22" t="s">
        <v>209</v>
      </c>
    </row>
    <row r="366" spans="1:20" ht="63.95">
      <c r="A366" s="207"/>
      <c r="B366" s="207"/>
      <c r="C366" s="250"/>
      <c r="D366" s="228"/>
      <c r="E366" s="22" t="s">
        <v>109</v>
      </c>
      <c r="F366" s="242"/>
      <c r="G366" s="28" t="s">
        <v>673</v>
      </c>
      <c r="H366" s="26" t="s">
        <v>674</v>
      </c>
      <c r="I366" s="26"/>
      <c r="J366" s="26"/>
      <c r="K366" s="22"/>
      <c r="L366" s="22"/>
      <c r="M366" s="22"/>
      <c r="N366" s="22"/>
      <c r="O366" s="22"/>
      <c r="P366" s="150"/>
      <c r="Q366" s="22"/>
      <c r="R366" s="22"/>
      <c r="S366" s="22" t="s">
        <v>209</v>
      </c>
    </row>
    <row r="367" spans="1:20" ht="32.1">
      <c r="A367" s="208"/>
      <c r="B367" s="208"/>
      <c r="C367" s="251"/>
      <c r="D367" s="229"/>
      <c r="E367" s="22" t="s">
        <v>167</v>
      </c>
      <c r="F367" s="235"/>
      <c r="G367" s="28" t="s">
        <v>730</v>
      </c>
      <c r="H367" s="26" t="s">
        <v>731</v>
      </c>
      <c r="I367" s="26"/>
      <c r="J367" s="26"/>
      <c r="K367" s="22"/>
      <c r="L367" s="22"/>
      <c r="M367" s="22"/>
      <c r="N367" s="22"/>
      <c r="O367" s="22"/>
      <c r="P367" s="150"/>
      <c r="Q367" s="22"/>
      <c r="R367" s="22"/>
      <c r="S367" s="22" t="s">
        <v>209</v>
      </c>
    </row>
    <row r="368" spans="1:20">
      <c r="A368" s="215" t="s">
        <v>732</v>
      </c>
      <c r="B368" s="216"/>
      <c r="C368" s="216"/>
      <c r="D368" s="216"/>
      <c r="E368" s="216"/>
      <c r="F368" s="216"/>
      <c r="G368" s="216"/>
      <c r="H368" s="216"/>
      <c r="I368" s="216"/>
      <c r="J368" s="216"/>
      <c r="K368" s="216"/>
      <c r="L368" s="216"/>
      <c r="M368" s="216"/>
      <c r="N368" s="216"/>
      <c r="O368" s="216"/>
      <c r="P368" s="216"/>
      <c r="Q368" s="216"/>
      <c r="R368" s="216"/>
      <c r="S368" s="277"/>
      <c r="T368" s="81"/>
    </row>
    <row r="369" spans="1:19" ht="32.1">
      <c r="A369" s="206" t="s">
        <v>733</v>
      </c>
      <c r="B369" s="206"/>
      <c r="C369" s="231" t="s">
        <v>734</v>
      </c>
      <c r="D369" s="35"/>
      <c r="E369" s="22" t="s">
        <v>20</v>
      </c>
      <c r="F369" s="21"/>
      <c r="G369" s="44" t="s">
        <v>735</v>
      </c>
      <c r="H369" s="27"/>
      <c r="I369" s="27"/>
      <c r="J369" s="27"/>
      <c r="K369" s="22"/>
      <c r="L369" s="22"/>
      <c r="M369" s="22"/>
      <c r="N369" s="22"/>
      <c r="O369" s="22"/>
      <c r="P369" s="35"/>
      <c r="Q369" s="22"/>
      <c r="R369" s="22" t="s">
        <v>125</v>
      </c>
      <c r="S369" s="53" t="s">
        <v>209</v>
      </c>
    </row>
    <row r="370" spans="1:19">
      <c r="A370" s="207"/>
      <c r="B370" s="207"/>
      <c r="C370" s="250"/>
      <c r="D370" s="35"/>
      <c r="E370" s="22" t="s">
        <v>109</v>
      </c>
      <c r="F370" s="21"/>
      <c r="G370" s="44" t="s">
        <v>736</v>
      </c>
      <c r="H370" s="27"/>
      <c r="I370" s="27"/>
      <c r="J370" s="27"/>
      <c r="K370" s="22"/>
      <c r="L370" s="22"/>
      <c r="M370" s="22"/>
      <c r="N370" s="22"/>
      <c r="O370" s="22"/>
      <c r="P370" s="35"/>
      <c r="Q370" s="22"/>
      <c r="R370" s="22" t="s">
        <v>125</v>
      </c>
      <c r="S370" s="53" t="s">
        <v>209</v>
      </c>
    </row>
    <row r="371" spans="1:19">
      <c r="A371" s="207"/>
      <c r="B371" s="207"/>
      <c r="C371" s="250"/>
      <c r="D371" s="35"/>
      <c r="E371" s="22" t="s">
        <v>167</v>
      </c>
      <c r="F371" s="21"/>
      <c r="G371" s="44" t="s">
        <v>737</v>
      </c>
      <c r="H371" s="27"/>
      <c r="I371" s="27"/>
      <c r="J371" s="27"/>
      <c r="K371" s="22"/>
      <c r="L371" s="22"/>
      <c r="M371" s="22"/>
      <c r="N371" s="22"/>
      <c r="O371" s="22"/>
      <c r="P371" s="35"/>
      <c r="Q371" s="22"/>
      <c r="R371" s="22" t="s">
        <v>125</v>
      </c>
      <c r="S371" s="53" t="s">
        <v>209</v>
      </c>
    </row>
    <row r="372" spans="1:19">
      <c r="A372" s="207"/>
      <c r="B372" s="207"/>
      <c r="C372" s="250"/>
      <c r="D372" s="35"/>
      <c r="E372" s="22" t="s">
        <v>170</v>
      </c>
      <c r="F372" s="21"/>
      <c r="G372" s="27" t="s">
        <v>738</v>
      </c>
      <c r="H372" s="27"/>
      <c r="I372" s="27"/>
      <c r="J372" s="27"/>
      <c r="K372" s="22"/>
      <c r="L372" s="22"/>
      <c r="M372" s="22"/>
      <c r="N372" s="22"/>
      <c r="O372" s="22"/>
      <c r="P372" s="35"/>
      <c r="Q372" s="22"/>
      <c r="R372" s="22" t="s">
        <v>125</v>
      </c>
      <c r="S372" s="53" t="s">
        <v>209</v>
      </c>
    </row>
    <row r="373" spans="1:19">
      <c r="A373" s="207"/>
      <c r="B373" s="207"/>
      <c r="C373" s="250"/>
      <c r="D373" s="35"/>
      <c r="E373" s="22" t="s">
        <v>173</v>
      </c>
      <c r="F373" s="21"/>
      <c r="G373" s="44" t="s">
        <v>739</v>
      </c>
      <c r="H373" s="26"/>
      <c r="I373" s="26"/>
      <c r="J373" s="26"/>
      <c r="K373" s="22"/>
      <c r="L373" s="22"/>
      <c r="M373" s="22"/>
      <c r="N373" s="22"/>
      <c r="O373" s="22"/>
      <c r="P373" s="35"/>
      <c r="Q373" s="22"/>
      <c r="R373" s="22" t="s">
        <v>125</v>
      </c>
      <c r="S373" s="53" t="s">
        <v>209</v>
      </c>
    </row>
    <row r="374" spans="1:19" ht="48">
      <c r="A374" s="207"/>
      <c r="B374" s="207"/>
      <c r="C374" s="250"/>
      <c r="D374" s="35"/>
      <c r="E374" s="22" t="s">
        <v>176</v>
      </c>
      <c r="F374" s="21"/>
      <c r="G374" s="26" t="s">
        <v>740</v>
      </c>
      <c r="H374" s="26"/>
      <c r="I374" s="26"/>
      <c r="J374" s="26"/>
      <c r="K374" s="22"/>
      <c r="L374" s="22"/>
      <c r="M374" s="22"/>
      <c r="N374" s="22"/>
      <c r="O374" s="22"/>
      <c r="P374" s="35"/>
      <c r="Q374" s="22"/>
      <c r="R374" s="22" t="s">
        <v>125</v>
      </c>
      <c r="S374" s="53" t="s">
        <v>209</v>
      </c>
    </row>
    <row r="375" spans="1:19">
      <c r="A375" s="207"/>
      <c r="B375" s="207"/>
      <c r="C375" s="250"/>
      <c r="D375" s="35"/>
      <c r="E375" s="22" t="s">
        <v>181</v>
      </c>
      <c r="F375" s="21"/>
      <c r="G375" s="26" t="s">
        <v>741</v>
      </c>
      <c r="H375" s="26"/>
      <c r="I375" s="26"/>
      <c r="J375" s="26"/>
      <c r="K375" s="22"/>
      <c r="L375" s="22"/>
      <c r="M375" s="22"/>
      <c r="N375" s="22"/>
      <c r="O375" s="22"/>
      <c r="P375" s="35"/>
      <c r="Q375" s="22"/>
      <c r="R375" s="22" t="s">
        <v>125</v>
      </c>
      <c r="S375" s="53" t="s">
        <v>209</v>
      </c>
    </row>
    <row r="376" spans="1:19" ht="32.1">
      <c r="A376" s="208"/>
      <c r="B376" s="208"/>
      <c r="C376" s="251"/>
      <c r="D376" s="35"/>
      <c r="E376" s="22" t="s">
        <v>188</v>
      </c>
      <c r="F376" s="21"/>
      <c r="G376" s="26" t="s">
        <v>742</v>
      </c>
      <c r="H376" s="26"/>
      <c r="I376" s="26"/>
      <c r="J376" s="26"/>
      <c r="K376" s="22"/>
      <c r="L376" s="22"/>
      <c r="M376" s="22"/>
      <c r="N376" s="22"/>
      <c r="O376" s="22"/>
      <c r="P376" s="35"/>
      <c r="Q376" s="22"/>
      <c r="R376" s="22" t="s">
        <v>125</v>
      </c>
      <c r="S376" s="53" t="s">
        <v>209</v>
      </c>
    </row>
  </sheetData>
  <autoFilter ref="A1:S376" xr:uid="{1B849E29-AEF5-40E1-BFE7-689B897E533B}"/>
  <mergeCells count="363">
    <mergeCell ref="B357:B363"/>
    <mergeCell ref="B365:B367"/>
    <mergeCell ref="B369:B376"/>
    <mergeCell ref="F339:F342"/>
    <mergeCell ref="B215:B218"/>
    <mergeCell ref="A339:A342"/>
    <mergeCell ref="A343:A344"/>
    <mergeCell ref="A345:S345"/>
    <mergeCell ref="A346:A347"/>
    <mergeCell ref="B339:B344"/>
    <mergeCell ref="C339:C344"/>
    <mergeCell ref="C346:C347"/>
    <mergeCell ref="B346:B347"/>
    <mergeCell ref="D346:D347"/>
    <mergeCell ref="B267:B269"/>
    <mergeCell ref="B271:B273"/>
    <mergeCell ref="A266:S266"/>
    <mergeCell ref="A270:S270"/>
    <mergeCell ref="A267:A269"/>
    <mergeCell ref="A271:A273"/>
    <mergeCell ref="A274:A284"/>
    <mergeCell ref="B286:B289"/>
    <mergeCell ref="B293:B296"/>
    <mergeCell ref="C267:C269"/>
    <mergeCell ref="A227:S227"/>
    <mergeCell ref="A228:A231"/>
    <mergeCell ref="C228:C231"/>
    <mergeCell ref="A129:A131"/>
    <mergeCell ref="A133:A135"/>
    <mergeCell ref="B77:B80"/>
    <mergeCell ref="B82:B84"/>
    <mergeCell ref="B86:B88"/>
    <mergeCell ref="B90:B93"/>
    <mergeCell ref="B95:B97"/>
    <mergeCell ref="B99:B101"/>
    <mergeCell ref="B103:B106"/>
    <mergeCell ref="B108:B110"/>
    <mergeCell ref="B112:B114"/>
    <mergeCell ref="B116:B118"/>
    <mergeCell ref="B120:B122"/>
    <mergeCell ref="B124:B127"/>
    <mergeCell ref="A128:S128"/>
    <mergeCell ref="A132:S132"/>
    <mergeCell ref="A214:S214"/>
    <mergeCell ref="A215:A218"/>
    <mergeCell ref="C215:C218"/>
    <mergeCell ref="A219:S219"/>
    <mergeCell ref="A220:A222"/>
    <mergeCell ref="A253:S253"/>
    <mergeCell ref="A254:A256"/>
    <mergeCell ref="C254:C256"/>
    <mergeCell ref="A240:S240"/>
    <mergeCell ref="A241:A244"/>
    <mergeCell ref="C241:C244"/>
    <mergeCell ref="A245:S245"/>
    <mergeCell ref="A246:A248"/>
    <mergeCell ref="C246:C248"/>
    <mergeCell ref="A249:S249"/>
    <mergeCell ref="A250:A252"/>
    <mergeCell ref="C250:C252"/>
    <mergeCell ref="B241:B244"/>
    <mergeCell ref="B246:B248"/>
    <mergeCell ref="B250:B252"/>
    <mergeCell ref="A257:S257"/>
    <mergeCell ref="A258:A260"/>
    <mergeCell ref="C258:C260"/>
    <mergeCell ref="A261:S261"/>
    <mergeCell ref="A262:A265"/>
    <mergeCell ref="C262:C265"/>
    <mergeCell ref="B254:B256"/>
    <mergeCell ref="B258:B260"/>
    <mergeCell ref="B262:B265"/>
    <mergeCell ref="A232:S232"/>
    <mergeCell ref="A233:A235"/>
    <mergeCell ref="C233:C235"/>
    <mergeCell ref="A236:S236"/>
    <mergeCell ref="A237:A239"/>
    <mergeCell ref="C237:C239"/>
    <mergeCell ref="B228:B231"/>
    <mergeCell ref="B233:B235"/>
    <mergeCell ref="B237:B239"/>
    <mergeCell ref="C220:C222"/>
    <mergeCell ref="A223:S223"/>
    <mergeCell ref="A224:A226"/>
    <mergeCell ref="C224:C226"/>
    <mergeCell ref="B220:B222"/>
    <mergeCell ref="B224:B226"/>
    <mergeCell ref="B202:B205"/>
    <mergeCell ref="C202:C205"/>
    <mergeCell ref="A206:S206"/>
    <mergeCell ref="A207:A209"/>
    <mergeCell ref="B207:B209"/>
    <mergeCell ref="C207:C209"/>
    <mergeCell ref="A210:S210"/>
    <mergeCell ref="A211:A213"/>
    <mergeCell ref="B211:B213"/>
    <mergeCell ref="C211:C213"/>
    <mergeCell ref="A337:S337"/>
    <mergeCell ref="B334:B336"/>
    <mergeCell ref="A197:S197"/>
    <mergeCell ref="A319:A320"/>
    <mergeCell ref="F319:F320"/>
    <mergeCell ref="A338:S338"/>
    <mergeCell ref="A302:S302"/>
    <mergeCell ref="D317:D320"/>
    <mergeCell ref="F317:F318"/>
    <mergeCell ref="D293:D296"/>
    <mergeCell ref="A330:S330"/>
    <mergeCell ref="A332:S332"/>
    <mergeCell ref="A198:A200"/>
    <mergeCell ref="A285:S285"/>
    <mergeCell ref="A327:S327"/>
    <mergeCell ref="A303:A308"/>
    <mergeCell ref="A328:A329"/>
    <mergeCell ref="C328:C329"/>
    <mergeCell ref="F328:F329"/>
    <mergeCell ref="A310:A315"/>
    <mergeCell ref="C310:C315"/>
    <mergeCell ref="A317:A318"/>
    <mergeCell ref="B299:B301"/>
    <mergeCell ref="A202:A205"/>
    <mergeCell ref="A298:S298"/>
    <mergeCell ref="B198:B200"/>
    <mergeCell ref="C198:C200"/>
    <mergeCell ref="A201:S201"/>
    <mergeCell ref="A368:S368"/>
    <mergeCell ref="C349:C354"/>
    <mergeCell ref="D349:D350"/>
    <mergeCell ref="F349:F350"/>
    <mergeCell ref="F351:F354"/>
    <mergeCell ref="A348:S348"/>
    <mergeCell ref="A323:A326"/>
    <mergeCell ref="C323:C326"/>
    <mergeCell ref="F323:F326"/>
    <mergeCell ref="A365:A367"/>
    <mergeCell ref="C365:C367"/>
    <mergeCell ref="D365:D367"/>
    <mergeCell ref="F365:F367"/>
    <mergeCell ref="A357:A363"/>
    <mergeCell ref="C357:C363"/>
    <mergeCell ref="D357:D360"/>
    <mergeCell ref="F357:F358"/>
    <mergeCell ref="F359:F360"/>
    <mergeCell ref="D361:D363"/>
    <mergeCell ref="A334:A336"/>
    <mergeCell ref="F361:F363"/>
    <mergeCell ref="A364:S364"/>
    <mergeCell ref="A356:S356"/>
    <mergeCell ref="A349:A354"/>
    <mergeCell ref="B349:B354"/>
    <mergeCell ref="A355:S355"/>
    <mergeCell ref="A10:A11"/>
    <mergeCell ref="A16:A17"/>
    <mergeCell ref="A53:A56"/>
    <mergeCell ref="A44:S44"/>
    <mergeCell ref="F16:F17"/>
    <mergeCell ref="C16:C17"/>
    <mergeCell ref="D16:D17"/>
    <mergeCell ref="A18:S18"/>
    <mergeCell ref="A22:A23"/>
    <mergeCell ref="F22:F23"/>
    <mergeCell ref="A26:S26"/>
    <mergeCell ref="A31:S31"/>
    <mergeCell ref="F19:F21"/>
    <mergeCell ref="C27:C30"/>
    <mergeCell ref="A32:A43"/>
    <mergeCell ref="C32:C43"/>
    <mergeCell ref="A24:S24"/>
    <mergeCell ref="B3:B14"/>
    <mergeCell ref="B19:B23"/>
    <mergeCell ref="B27:B30"/>
    <mergeCell ref="A153:A154"/>
    <mergeCell ref="B303:B308"/>
    <mergeCell ref="B310:B315"/>
    <mergeCell ref="B317:B320"/>
    <mergeCell ref="A321:S321"/>
    <mergeCell ref="A322:S322"/>
    <mergeCell ref="C286:C289"/>
    <mergeCell ref="D286:D289"/>
    <mergeCell ref="F293:F296"/>
    <mergeCell ref="D299:D300"/>
    <mergeCell ref="F303:F305"/>
    <mergeCell ref="A297:S297"/>
    <mergeCell ref="A316:S316"/>
    <mergeCell ref="A182:A186"/>
    <mergeCell ref="D182:D186"/>
    <mergeCell ref="F182:F186"/>
    <mergeCell ref="F188:F190"/>
    <mergeCell ref="A309:S309"/>
    <mergeCell ref="A299:A301"/>
    <mergeCell ref="C299:C301"/>
    <mergeCell ref="F299:F301"/>
    <mergeCell ref="D303:D304"/>
    <mergeCell ref="A178:S178"/>
    <mergeCell ref="B171:B173"/>
    <mergeCell ref="B182:B186"/>
    <mergeCell ref="A179:A181"/>
    <mergeCell ref="C179:C186"/>
    <mergeCell ref="D171:D172"/>
    <mergeCell ref="F171:F173"/>
    <mergeCell ref="F179:F181"/>
    <mergeCell ref="D192:D194"/>
    <mergeCell ref="A177:S177"/>
    <mergeCell ref="A171:A173"/>
    <mergeCell ref="F175:F176"/>
    <mergeCell ref="D175:D176"/>
    <mergeCell ref="C175:C176"/>
    <mergeCell ref="D179:D180"/>
    <mergeCell ref="B175:B176"/>
    <mergeCell ref="B179:B181"/>
    <mergeCell ref="B188:B190"/>
    <mergeCell ref="B192:B194"/>
    <mergeCell ref="A175:A176"/>
    <mergeCell ref="A174:S174"/>
    <mergeCell ref="D188:D190"/>
    <mergeCell ref="A187:S187"/>
    <mergeCell ref="A191:S191"/>
    <mergeCell ref="A2:S2"/>
    <mergeCell ref="A103:A106"/>
    <mergeCell ref="C103:C106"/>
    <mergeCell ref="A108:A110"/>
    <mergeCell ref="C108:C110"/>
    <mergeCell ref="A3:A8"/>
    <mergeCell ref="C3:C14"/>
    <mergeCell ref="D3:D9"/>
    <mergeCell ref="F3:F8"/>
    <mergeCell ref="D10:D11"/>
    <mergeCell ref="F10:F11"/>
    <mergeCell ref="A68:S68"/>
    <mergeCell ref="A72:S72"/>
    <mergeCell ref="A76:S76"/>
    <mergeCell ref="A19:A21"/>
    <mergeCell ref="C19:C23"/>
    <mergeCell ref="A85:S85"/>
    <mergeCell ref="A89:S89"/>
    <mergeCell ref="D19:D21"/>
    <mergeCell ref="A15:S15"/>
    <mergeCell ref="I3:I7"/>
    <mergeCell ref="B32:B43"/>
    <mergeCell ref="A27:A30"/>
    <mergeCell ref="A69:A71"/>
    <mergeCell ref="C334:C336"/>
    <mergeCell ref="C317:C320"/>
    <mergeCell ref="F286:F289"/>
    <mergeCell ref="D325:D326"/>
    <mergeCell ref="D328:D329"/>
    <mergeCell ref="C69:C71"/>
    <mergeCell ref="C148:C151"/>
    <mergeCell ref="D148:D151"/>
    <mergeCell ref="A98:S98"/>
    <mergeCell ref="A119:S119"/>
    <mergeCell ref="A99:A101"/>
    <mergeCell ref="A147:S147"/>
    <mergeCell ref="C116:C118"/>
    <mergeCell ref="A81:S81"/>
    <mergeCell ref="C73:C75"/>
    <mergeCell ref="A77:A80"/>
    <mergeCell ref="A123:S123"/>
    <mergeCell ref="A102:S102"/>
    <mergeCell ref="C95:C97"/>
    <mergeCell ref="C99:C101"/>
    <mergeCell ref="A148:A151"/>
    <mergeCell ref="B323:B326"/>
    <mergeCell ref="B328:B329"/>
    <mergeCell ref="F192:F194"/>
    <mergeCell ref="A161:A166"/>
    <mergeCell ref="F156:F159"/>
    <mergeCell ref="A152:S152"/>
    <mergeCell ref="A112:A114"/>
    <mergeCell ref="C112:C114"/>
    <mergeCell ref="A116:A118"/>
    <mergeCell ref="A369:A376"/>
    <mergeCell ref="C369:C376"/>
    <mergeCell ref="A286:A289"/>
    <mergeCell ref="A293:A296"/>
    <mergeCell ref="C293:C296"/>
    <mergeCell ref="C271:C273"/>
    <mergeCell ref="A292:S292"/>
    <mergeCell ref="F306:F308"/>
    <mergeCell ref="D306:D307"/>
    <mergeCell ref="F310:F312"/>
    <mergeCell ref="F313:F315"/>
    <mergeCell ref="D310:D311"/>
    <mergeCell ref="D313:D314"/>
    <mergeCell ref="C303:C308"/>
    <mergeCell ref="A290:S290"/>
    <mergeCell ref="A333:S333"/>
    <mergeCell ref="D334:D336"/>
    <mergeCell ref="F334:F336"/>
    <mergeCell ref="C156:C159"/>
    <mergeCell ref="A160:S160"/>
    <mergeCell ref="A115:S115"/>
    <mergeCell ref="A120:A122"/>
    <mergeCell ref="C120:C122"/>
    <mergeCell ref="A136:A146"/>
    <mergeCell ref="B129:B131"/>
    <mergeCell ref="B133:B135"/>
    <mergeCell ref="B148:B151"/>
    <mergeCell ref="B153:B154"/>
    <mergeCell ref="B156:B159"/>
    <mergeCell ref="A52:S52"/>
    <mergeCell ref="F53:F56"/>
    <mergeCell ref="C53:C56"/>
    <mergeCell ref="A45:A48"/>
    <mergeCell ref="A50:A51"/>
    <mergeCell ref="F45:F48"/>
    <mergeCell ref="B50:B51"/>
    <mergeCell ref="A49:S49"/>
    <mergeCell ref="D45:D48"/>
    <mergeCell ref="C45:C48"/>
    <mergeCell ref="B45:B48"/>
    <mergeCell ref="D53:D56"/>
    <mergeCell ref="D50:D51"/>
    <mergeCell ref="C50:C51"/>
    <mergeCell ref="F50:F51"/>
    <mergeCell ref="A195:S195"/>
    <mergeCell ref="D156:D159"/>
    <mergeCell ref="A124:A127"/>
    <mergeCell ref="C124:C127"/>
    <mergeCell ref="A167:A169"/>
    <mergeCell ref="C171:C173"/>
    <mergeCell ref="D167:D169"/>
    <mergeCell ref="C161:C169"/>
    <mergeCell ref="A156:A159"/>
    <mergeCell ref="F161:F166"/>
    <mergeCell ref="B161:B169"/>
    <mergeCell ref="F167:F169"/>
    <mergeCell ref="F153:F154"/>
    <mergeCell ref="A170:S170"/>
    <mergeCell ref="A192:A194"/>
    <mergeCell ref="C192:C194"/>
    <mergeCell ref="A188:A190"/>
    <mergeCell ref="C188:C190"/>
    <mergeCell ref="C129:C131"/>
    <mergeCell ref="C133:C135"/>
    <mergeCell ref="D161:D166"/>
    <mergeCell ref="F148:F151"/>
    <mergeCell ref="A155:S155"/>
    <mergeCell ref="C153:C154"/>
    <mergeCell ref="C60:C62"/>
    <mergeCell ref="A60:A62"/>
    <mergeCell ref="B53:B56"/>
    <mergeCell ref="B60:B62"/>
    <mergeCell ref="B64:B67"/>
    <mergeCell ref="B69:B71"/>
    <mergeCell ref="B73:B75"/>
    <mergeCell ref="A111:S111"/>
    <mergeCell ref="C77:C80"/>
    <mergeCell ref="A73:A75"/>
    <mergeCell ref="A82:A84"/>
    <mergeCell ref="C82:C84"/>
    <mergeCell ref="A86:A88"/>
    <mergeCell ref="C86:C88"/>
    <mergeCell ref="A90:A93"/>
    <mergeCell ref="A64:A67"/>
    <mergeCell ref="A107:S107"/>
    <mergeCell ref="A57:S57"/>
    <mergeCell ref="A59:S59"/>
    <mergeCell ref="A94:S94"/>
    <mergeCell ref="C64:C67"/>
    <mergeCell ref="A63:S63"/>
    <mergeCell ref="A95:A97"/>
    <mergeCell ref="C90:C93"/>
  </mergeCells>
  <phoneticPr fontId="11" type="noConversion"/>
  <conditionalFormatting sqref="R3:R17 R32:R43 R73:R75 R77:R80 R82:R84 R86:R88 R95:R97 R103:R106 R108:R110 R120:R122 R124:R127 R129:R131 R133:R146 R211:R213 R215:R218 R220:R222 R224:R226 R233:R235 R241:R244 R246:R248 R258:R260 R262:R265 R267:R269">
    <cfRule type="containsText" dxfId="114" priority="57" operator="containsText" text="Not Started">
      <formula>NOT(ISERROR(SEARCH("Not Started",R3)))</formula>
    </cfRule>
    <cfRule type="containsText" dxfId="113" priority="56" operator="containsText" text="Completed">
      <formula>NOT(ISERROR(SEARCH("Completed",R3)))</formula>
    </cfRule>
    <cfRule type="containsText" dxfId="112" priority="55" operator="containsText" text="In Progress">
      <formula>NOT(ISERROR(SEARCH("In Progress",R3)))</formula>
    </cfRule>
  </conditionalFormatting>
  <conditionalFormatting sqref="R19:R23">
    <cfRule type="containsText" dxfId="111" priority="54" operator="containsText" text="Not Started">
      <formula>NOT(ISERROR(SEARCH("Not Started",R19)))</formula>
    </cfRule>
    <cfRule type="containsText" dxfId="110" priority="53" operator="containsText" text="Completed">
      <formula>NOT(ISERROR(SEARCH("Completed",R19)))</formula>
    </cfRule>
    <cfRule type="containsText" dxfId="109" priority="52" operator="containsText" text="In Progress">
      <formula>NOT(ISERROR(SEARCH("In Progress",R19)))</formula>
    </cfRule>
  </conditionalFormatting>
  <conditionalFormatting sqref="R25">
    <cfRule type="containsText" dxfId="108" priority="48" operator="containsText" text="Not Started">
      <formula>NOT(ISERROR(SEARCH("Not Started",R25)))</formula>
    </cfRule>
    <cfRule type="containsText" dxfId="107" priority="47" operator="containsText" text="Completed">
      <formula>NOT(ISERROR(SEARCH("Completed",R25)))</formula>
    </cfRule>
    <cfRule type="containsText" dxfId="106" priority="46" operator="containsText" text="In Progress">
      <formula>NOT(ISERROR(SEARCH("In Progress",R25)))</formula>
    </cfRule>
  </conditionalFormatting>
  <conditionalFormatting sqref="R27:R30">
    <cfRule type="containsText" dxfId="105" priority="50" operator="containsText" text="Completed">
      <formula>NOT(ISERROR(SEARCH("Completed",R27)))</formula>
    </cfRule>
    <cfRule type="containsText" dxfId="104" priority="49" operator="containsText" text="In Progress">
      <formula>NOT(ISERROR(SEARCH("In Progress",R27)))</formula>
    </cfRule>
    <cfRule type="containsText" dxfId="103" priority="51" operator="containsText" text="Not Started">
      <formula>NOT(ISERROR(SEARCH("Not Started",R27)))</formula>
    </cfRule>
  </conditionalFormatting>
  <conditionalFormatting sqref="R45:R48">
    <cfRule type="containsText" dxfId="102" priority="22" operator="containsText" text="In Progress">
      <formula>NOT(ISERROR(SEARCH("In Progress",R45)))</formula>
    </cfRule>
    <cfRule type="containsText" dxfId="101" priority="23" operator="containsText" text="Completed">
      <formula>NOT(ISERROR(SEARCH("Completed",R45)))</formula>
    </cfRule>
    <cfRule type="containsText" dxfId="100" priority="24" operator="containsText" text="Not Started">
      <formula>NOT(ISERROR(SEARCH("Not Started",R45)))</formula>
    </cfRule>
  </conditionalFormatting>
  <conditionalFormatting sqref="R50:R51">
    <cfRule type="containsText" dxfId="99" priority="28" operator="containsText" text="In Progress">
      <formula>NOT(ISERROR(SEARCH("In Progress",R50)))</formula>
    </cfRule>
    <cfRule type="containsText" dxfId="98" priority="29" operator="containsText" text="Completed">
      <formula>NOT(ISERROR(SEARCH("Completed",R50)))</formula>
    </cfRule>
    <cfRule type="containsText" dxfId="97" priority="30" operator="containsText" text="Not Started">
      <formula>NOT(ISERROR(SEARCH("Not Started",R50)))</formula>
    </cfRule>
  </conditionalFormatting>
  <conditionalFormatting sqref="R53:R56">
    <cfRule type="containsText" dxfId="96" priority="25" operator="containsText" text="In Progress">
      <formula>NOT(ISERROR(SEARCH("In Progress",R53)))</formula>
    </cfRule>
    <cfRule type="containsText" dxfId="95" priority="26" operator="containsText" text="Completed">
      <formula>NOT(ISERROR(SEARCH("Completed",R53)))</formula>
    </cfRule>
    <cfRule type="containsText" dxfId="94" priority="27" operator="containsText" text="Not Started">
      <formula>NOT(ISERROR(SEARCH("Not Started",R53)))</formula>
    </cfRule>
  </conditionalFormatting>
  <conditionalFormatting sqref="R58 R64:R67 R69:R71 R90:R93 R99:R101 R116:R118 R153:R154 R171:R173 R175:R176 R180:R186 R188:R190 R192:R194 R196 R202:R205 R207:R209 R228:R231 R237:R239 R254:R256 R291 R299:R301 R307:R308 R310:R315 R317:R320 R323:R326 R328:R329 R331 R334:R336 R339:R344 R346:R347 R349:R354 R357:R363 R365:R367">
    <cfRule type="containsText" dxfId="93" priority="42" operator="containsText" text="Not Started">
      <formula>NOT(ISERROR(SEARCH("Not Started",R58)))</formula>
    </cfRule>
    <cfRule type="containsText" dxfId="92" priority="41" operator="containsText" text="Completed">
      <formula>NOT(ISERROR(SEARCH("Completed",R58)))</formula>
    </cfRule>
    <cfRule type="containsText" dxfId="91" priority="40" operator="containsText" text="In Progress">
      <formula>NOT(ISERROR(SEARCH("In Progress",R58)))</formula>
    </cfRule>
  </conditionalFormatting>
  <conditionalFormatting sqref="R112:R114">
    <cfRule type="containsText" dxfId="90" priority="4" operator="containsText" text="In Progress">
      <formula>NOT(ISERROR(SEARCH("In Progress",R112)))</formula>
    </cfRule>
    <cfRule type="containsText" dxfId="89" priority="5" operator="containsText" text="Completed">
      <formula>NOT(ISERROR(SEARCH("Completed",R112)))</formula>
    </cfRule>
    <cfRule type="containsText" dxfId="88" priority="6" operator="containsText" text="Not Started">
      <formula>NOT(ISERROR(SEARCH("Not Started",R112)))</formula>
    </cfRule>
  </conditionalFormatting>
  <conditionalFormatting sqref="R148:R151">
    <cfRule type="containsText" dxfId="87" priority="19" operator="containsText" text="In Progress">
      <formula>NOT(ISERROR(SEARCH("In Progress",R148)))</formula>
    </cfRule>
    <cfRule type="containsText" dxfId="86" priority="20" operator="containsText" text="Completed">
      <formula>NOT(ISERROR(SEARCH("Completed",R148)))</formula>
    </cfRule>
    <cfRule type="containsText" dxfId="85" priority="21" operator="containsText" text="Not Started">
      <formula>NOT(ISERROR(SEARCH("Not Started",R148)))</formula>
    </cfRule>
  </conditionalFormatting>
  <conditionalFormatting sqref="R156:R159">
    <cfRule type="containsText" dxfId="84" priority="18" operator="containsText" text="Not Started">
      <formula>NOT(ISERROR(SEARCH("Not Started",R156)))</formula>
    </cfRule>
    <cfRule type="containsText" dxfId="83" priority="17" operator="containsText" text="Completed">
      <formula>NOT(ISERROR(SEARCH("Completed",R156)))</formula>
    </cfRule>
    <cfRule type="containsText" dxfId="82" priority="16" operator="containsText" text="In Progress">
      <formula>NOT(ISERROR(SEARCH("In Progress",R156)))</formula>
    </cfRule>
  </conditionalFormatting>
  <conditionalFormatting sqref="R161:R169">
    <cfRule type="containsText" dxfId="81" priority="35" operator="containsText" text="Completed">
      <formula>NOT(ISERROR(SEARCH("Completed",R161)))</formula>
    </cfRule>
    <cfRule type="containsText" dxfId="80" priority="36" operator="containsText" text="Not Started">
      <formula>NOT(ISERROR(SEARCH("Not Started",R161)))</formula>
    </cfRule>
    <cfRule type="containsText" dxfId="79" priority="34" operator="containsText" text="In Progress">
      <formula>NOT(ISERROR(SEARCH("In Progress",R161)))</formula>
    </cfRule>
  </conditionalFormatting>
  <conditionalFormatting sqref="R250:R252">
    <cfRule type="containsText" dxfId="78" priority="1" operator="containsText" text="In Progress">
      <formula>NOT(ISERROR(SEARCH("In Progress",R250)))</formula>
    </cfRule>
    <cfRule type="containsText" dxfId="77" priority="2" operator="containsText" text="Completed">
      <formula>NOT(ISERROR(SEARCH("Completed",R250)))</formula>
    </cfRule>
    <cfRule type="containsText" dxfId="76" priority="3" operator="containsText" text="Not Started">
      <formula>NOT(ISERROR(SEARCH("Not Started",R250)))</formula>
    </cfRule>
  </conditionalFormatting>
  <conditionalFormatting sqref="R271:R284">
    <cfRule type="containsText" dxfId="75" priority="13" operator="containsText" text="In Progress">
      <formula>NOT(ISERROR(SEARCH("In Progress",R271)))</formula>
    </cfRule>
    <cfRule type="containsText" dxfId="74" priority="15" operator="containsText" text="Not Started">
      <formula>NOT(ISERROR(SEARCH("Not Started",R271)))</formula>
    </cfRule>
    <cfRule type="containsText" dxfId="73" priority="14" operator="containsText" text="Completed">
      <formula>NOT(ISERROR(SEARCH("Completed",R271)))</formula>
    </cfRule>
  </conditionalFormatting>
  <conditionalFormatting sqref="R286:R289">
    <cfRule type="containsText" dxfId="72" priority="12" operator="containsText" text="Not Started">
      <formula>NOT(ISERROR(SEARCH("Not Started",R286)))</formula>
    </cfRule>
    <cfRule type="containsText" dxfId="71" priority="11" operator="containsText" text="Completed">
      <formula>NOT(ISERROR(SEARCH("Completed",R286)))</formula>
    </cfRule>
    <cfRule type="containsText" dxfId="70" priority="10" operator="containsText" text="In Progress">
      <formula>NOT(ISERROR(SEARCH("In Progress",R286)))</formula>
    </cfRule>
  </conditionalFormatting>
  <conditionalFormatting sqref="R293:R296">
    <cfRule type="containsText" dxfId="69" priority="7" operator="containsText" text="In Progress">
      <formula>NOT(ISERROR(SEARCH("In Progress",R293)))</formula>
    </cfRule>
    <cfRule type="containsText" dxfId="68" priority="9" operator="containsText" text="Not Started">
      <formula>NOT(ISERROR(SEARCH("Not Started",R293)))</formula>
    </cfRule>
    <cfRule type="containsText" dxfId="67" priority="8" operator="containsText" text="Completed">
      <formula>NOT(ISERROR(SEARCH("Completed",R293)))</formula>
    </cfRule>
  </conditionalFormatting>
  <conditionalFormatting sqref="R369:R376">
    <cfRule type="containsText" dxfId="66" priority="33" operator="containsText" text="Not Started">
      <formula>NOT(ISERROR(SEARCH("Not Started",R369)))</formula>
    </cfRule>
    <cfRule type="containsText" dxfId="65" priority="32" operator="containsText" text="Completed">
      <formula>NOT(ISERROR(SEARCH("Completed",R369)))</formula>
    </cfRule>
    <cfRule type="containsText" dxfId="64" priority="31" operator="containsText" text="In Progress">
      <formula>NOT(ISERROR(SEARCH("In Progress",R369)))</formula>
    </cfRule>
  </conditionalFormatting>
  <hyperlinks>
    <hyperlink ref="P342:P344" r:id="rId1" display="PO19" xr:uid="{6A8EDEE2-8F3F-43D4-98EA-7CC071D0B5FD}"/>
  </hyperlinks>
  <pageMargins left="0.7" right="0.7" top="0.75" bottom="0.75" header="0.3" footer="0.3"/>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1990F5A-B6FB-4899-B157-BE14A0B7FD12}">
          <x14:formula1>
            <xm:f>Sheet2!$A$2:$A$4</xm:f>
          </x14:formula1>
          <xm:sqref>R365:R367 R19:R23 R27:R30 R25 R339:R344 R357:R363 R64:R67 R69:R71 R3:R17 R90:R93 R99:R101 R116:R118 R153:R159 R53:R56 R45:R48 R180:R186 R188:R190 R192:R194 R196 R317:R320 R50:R51 R32:R43 R171:R173 R175:R176 R58 R73:R75 R77:R80 R82:R84 R86:R88 R95:R97 R103:R106 R108:R110 R112:R114 R291:R296 R299:R301 R307:R308 R310:R315 R133:R151 R323:R326 R328:R329 R331 R334:R336 R346:R347 R349:R354 R120:R122 R161:R169 R369:R376 R202:R205 R207:R209 R228:R231 R237:R239 R254:R256 R211:R213 R215:R218 R220:R222 R224:R226 R233:R235 R241:R244 R246:R248 R250:R252 R258:R260 R124:R127 R129:R131 R262:R265 R267:R269 R271:R289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C23E9-7A57-4991-A388-37905B84C13A}">
  <sheetPr>
    <tabColor rgb="FFFFC000"/>
  </sheetPr>
  <dimension ref="A1:I129"/>
  <sheetViews>
    <sheetView tabSelected="1" workbookViewId="0">
      <selection activeCell="E133" sqref="E133"/>
    </sheetView>
  </sheetViews>
  <sheetFormatPr defaultRowHeight="14.45"/>
  <cols>
    <col min="1" max="1" width="8.140625" style="85" bestFit="1" customWidth="1"/>
    <col min="2" max="2" width="16.28515625" style="142" bestFit="1" customWidth="1"/>
    <col min="3" max="3" width="93.42578125" style="133" customWidth="1"/>
    <col min="4" max="4" width="23.85546875" style="146" hidden="1" customWidth="1"/>
    <col min="5" max="5" width="25.28515625" style="174" customWidth="1"/>
    <col min="6" max="6" width="24" style="85" bestFit="1" customWidth="1"/>
    <col min="7" max="7" width="16.85546875" style="46" bestFit="1" customWidth="1"/>
    <col min="8" max="8" width="14.5703125" style="136" bestFit="1" customWidth="1"/>
    <col min="9" max="9" width="52.85546875" bestFit="1" customWidth="1"/>
    <col min="10" max="10" width="15" bestFit="1" customWidth="1"/>
    <col min="11" max="11" width="20.85546875" bestFit="1" customWidth="1"/>
    <col min="12" max="12" width="16.5703125" bestFit="1" customWidth="1"/>
    <col min="13" max="13" width="5.140625" bestFit="1" customWidth="1"/>
    <col min="14" max="14" width="12.85546875" bestFit="1" customWidth="1"/>
    <col min="15" max="15" width="4.28515625" bestFit="1" customWidth="1"/>
    <col min="16" max="16" width="19.5703125" bestFit="1" customWidth="1"/>
    <col min="17" max="17" width="14.7109375" bestFit="1" customWidth="1"/>
    <col min="18" max="18" width="24.28515625" bestFit="1" customWidth="1"/>
    <col min="19" max="19" width="7.42578125" bestFit="1" customWidth="1"/>
    <col min="20" max="20" width="11.7109375" bestFit="1" customWidth="1"/>
    <col min="21" max="21" width="20.28515625" bestFit="1" customWidth="1"/>
    <col min="22" max="22" width="22.85546875" bestFit="1" customWidth="1"/>
    <col min="23" max="23" width="11.42578125" bestFit="1" customWidth="1"/>
    <col min="24" max="24" width="7.5703125" bestFit="1" customWidth="1"/>
    <col min="25" max="25" width="26.28515625" bestFit="1" customWidth="1"/>
    <col min="26" max="26" width="18.5703125" bestFit="1" customWidth="1"/>
    <col min="27" max="27" width="21.85546875" bestFit="1" customWidth="1"/>
    <col min="28" max="28" width="11.42578125" bestFit="1" customWidth="1"/>
    <col min="29" max="29" width="10.140625" bestFit="1" customWidth="1"/>
    <col min="30" max="30" width="14.85546875" bestFit="1" customWidth="1"/>
    <col min="31" max="31" width="18.140625" bestFit="1" customWidth="1"/>
    <col min="32" max="32" width="11.42578125" bestFit="1" customWidth="1"/>
    <col min="33" max="33" width="9.28515625" bestFit="1" customWidth="1"/>
    <col min="34" max="34" width="21.5703125" bestFit="1" customWidth="1"/>
    <col min="35" max="35" width="24.7109375" bestFit="1" customWidth="1"/>
    <col min="36" max="36" width="16.5703125" bestFit="1" customWidth="1"/>
    <col min="37" max="37" width="11.42578125" bestFit="1" customWidth="1"/>
    <col min="38" max="38" width="19.85546875" bestFit="1" customWidth="1"/>
    <col min="39" max="39" width="26.28515625" bestFit="1" customWidth="1"/>
    <col min="40" max="40" width="11.42578125" bestFit="1" customWidth="1"/>
    <col min="41" max="41" width="29.42578125" bestFit="1" customWidth="1"/>
    <col min="42" max="42" width="9.28515625" bestFit="1" customWidth="1"/>
    <col min="43" max="43" width="12.42578125" bestFit="1" customWidth="1"/>
    <col min="44" max="44" width="11.7109375" bestFit="1" customWidth="1"/>
  </cols>
  <sheetData>
    <row r="1" spans="1:9" s="72" customFormat="1">
      <c r="A1" s="111" t="s">
        <v>743</v>
      </c>
      <c r="B1" s="111" t="s">
        <v>744</v>
      </c>
      <c r="C1" s="112" t="s">
        <v>745</v>
      </c>
      <c r="D1" s="112" t="s">
        <v>746</v>
      </c>
      <c r="E1" s="112" t="s">
        <v>144</v>
      </c>
      <c r="F1" s="111" t="s">
        <v>121</v>
      </c>
      <c r="G1" s="112"/>
      <c r="H1" s="111" t="s">
        <v>140</v>
      </c>
      <c r="I1" s="111" t="s">
        <v>747</v>
      </c>
    </row>
    <row r="2" spans="1:9">
      <c r="A2" s="115">
        <v>1</v>
      </c>
      <c r="B2" s="139">
        <v>46076</v>
      </c>
      <c r="C2" s="131" t="s">
        <v>748</v>
      </c>
      <c r="D2" s="143" t="s">
        <v>749</v>
      </c>
      <c r="E2" s="173" t="s">
        <v>129</v>
      </c>
      <c r="F2" s="115" t="s">
        <v>125</v>
      </c>
      <c r="G2" s="110" t="s">
        <v>750</v>
      </c>
      <c r="H2" s="134" t="s">
        <v>142</v>
      </c>
      <c r="I2" s="88" t="s">
        <v>751</v>
      </c>
    </row>
    <row r="3" spans="1:9">
      <c r="A3" s="115">
        <v>2</v>
      </c>
      <c r="B3" s="139">
        <v>46076</v>
      </c>
      <c r="C3" s="131" t="s">
        <v>752</v>
      </c>
      <c r="D3" s="143" t="s">
        <v>749</v>
      </c>
      <c r="E3" s="173" t="s">
        <v>129</v>
      </c>
      <c r="F3" s="115" t="s">
        <v>123</v>
      </c>
      <c r="G3" s="110" t="s">
        <v>750</v>
      </c>
      <c r="H3" s="134" t="s">
        <v>142</v>
      </c>
      <c r="I3" s="88"/>
    </row>
    <row r="4" spans="1:9">
      <c r="A4" s="115">
        <v>3</v>
      </c>
      <c r="B4" s="139">
        <v>46076</v>
      </c>
      <c r="C4" s="131" t="s">
        <v>753</v>
      </c>
      <c r="D4" s="143" t="s">
        <v>749</v>
      </c>
      <c r="E4" s="173" t="s">
        <v>131</v>
      </c>
      <c r="F4" s="115" t="s">
        <v>123</v>
      </c>
      <c r="G4" s="110" t="s">
        <v>754</v>
      </c>
      <c r="H4" s="134" t="s">
        <v>142</v>
      </c>
      <c r="I4" s="118" t="s">
        <v>755</v>
      </c>
    </row>
    <row r="5" spans="1:9">
      <c r="A5" s="115">
        <v>4</v>
      </c>
      <c r="B5" s="139">
        <v>46076</v>
      </c>
      <c r="C5" s="131" t="s">
        <v>756</v>
      </c>
      <c r="D5" s="143" t="s">
        <v>749</v>
      </c>
      <c r="E5" s="173" t="s">
        <v>129</v>
      </c>
      <c r="F5" s="115" t="s">
        <v>123</v>
      </c>
      <c r="G5" s="110" t="s">
        <v>750</v>
      </c>
      <c r="H5" s="134" t="s">
        <v>142</v>
      </c>
      <c r="I5" s="88"/>
    </row>
    <row r="6" spans="1:9">
      <c r="A6" s="115">
        <v>5</v>
      </c>
      <c r="B6" s="139">
        <v>46076</v>
      </c>
      <c r="C6" s="131" t="s">
        <v>757</v>
      </c>
      <c r="D6" s="143" t="s">
        <v>749</v>
      </c>
      <c r="E6" s="173" t="s">
        <v>129</v>
      </c>
      <c r="F6" s="115" t="s">
        <v>123</v>
      </c>
      <c r="G6" s="110" t="s">
        <v>750</v>
      </c>
      <c r="H6" s="134" t="s">
        <v>142</v>
      </c>
      <c r="I6" s="88"/>
    </row>
    <row r="7" spans="1:9" ht="29.1">
      <c r="A7" s="115">
        <v>6</v>
      </c>
      <c r="B7" s="139">
        <v>46076</v>
      </c>
      <c r="C7" s="131" t="s">
        <v>758</v>
      </c>
      <c r="D7" s="143" t="s">
        <v>749</v>
      </c>
      <c r="E7" s="173" t="s">
        <v>129</v>
      </c>
      <c r="F7" s="115" t="s">
        <v>123</v>
      </c>
      <c r="G7" s="110" t="s">
        <v>750</v>
      </c>
      <c r="H7" s="134" t="s">
        <v>142</v>
      </c>
      <c r="I7" s="88"/>
    </row>
    <row r="8" spans="1:9">
      <c r="A8" s="115">
        <v>7</v>
      </c>
      <c r="B8" s="139">
        <v>46076</v>
      </c>
      <c r="C8" s="131" t="s">
        <v>759</v>
      </c>
      <c r="D8" s="143" t="s">
        <v>749</v>
      </c>
      <c r="E8" s="173" t="s">
        <v>129</v>
      </c>
      <c r="F8" s="115" t="s">
        <v>123</v>
      </c>
      <c r="G8" s="110" t="s">
        <v>750</v>
      </c>
      <c r="H8" s="134" t="s">
        <v>142</v>
      </c>
      <c r="I8" s="88"/>
    </row>
    <row r="9" spans="1:9">
      <c r="A9" s="115">
        <v>8</v>
      </c>
      <c r="B9" s="139">
        <v>46076</v>
      </c>
      <c r="C9" s="131" t="s">
        <v>760</v>
      </c>
      <c r="D9" s="143" t="s">
        <v>749</v>
      </c>
      <c r="E9" s="173" t="s">
        <v>129</v>
      </c>
      <c r="F9" s="115" t="s">
        <v>123</v>
      </c>
      <c r="G9" s="110" t="s">
        <v>750</v>
      </c>
      <c r="H9" s="134" t="s">
        <v>142</v>
      </c>
      <c r="I9" s="88"/>
    </row>
    <row r="10" spans="1:9">
      <c r="A10" s="115">
        <v>9</v>
      </c>
      <c r="B10" s="139">
        <v>46076</v>
      </c>
      <c r="C10" s="131" t="s">
        <v>761</v>
      </c>
      <c r="D10" s="143" t="s">
        <v>749</v>
      </c>
      <c r="E10" s="173" t="s">
        <v>129</v>
      </c>
      <c r="F10" s="115" t="s">
        <v>125</v>
      </c>
      <c r="G10" s="110" t="s">
        <v>750</v>
      </c>
      <c r="H10" s="134" t="s">
        <v>142</v>
      </c>
      <c r="I10" s="88" t="s">
        <v>141</v>
      </c>
    </row>
    <row r="11" spans="1:9">
      <c r="A11" s="115">
        <v>10</v>
      </c>
      <c r="B11" s="139">
        <v>46076</v>
      </c>
      <c r="C11" s="131" t="s">
        <v>762</v>
      </c>
      <c r="D11" s="143" t="s">
        <v>749</v>
      </c>
      <c r="E11" s="173" t="s">
        <v>129</v>
      </c>
      <c r="F11" s="115" t="s">
        <v>123</v>
      </c>
      <c r="G11" s="110" t="s">
        <v>750</v>
      </c>
      <c r="H11" s="134" t="s">
        <v>142</v>
      </c>
      <c r="I11" s="88"/>
    </row>
    <row r="12" spans="1:9">
      <c r="A12" s="115">
        <v>11</v>
      </c>
      <c r="B12" s="139">
        <v>46076</v>
      </c>
      <c r="C12" s="131" t="s">
        <v>763</v>
      </c>
      <c r="D12" s="143" t="s">
        <v>764</v>
      </c>
      <c r="E12" s="173" t="s">
        <v>129</v>
      </c>
      <c r="F12" s="115" t="s">
        <v>123</v>
      </c>
      <c r="G12" s="110" t="s">
        <v>750</v>
      </c>
      <c r="H12" s="134" t="s">
        <v>142</v>
      </c>
      <c r="I12" s="88"/>
    </row>
    <row r="13" spans="1:9">
      <c r="A13" s="115">
        <v>12</v>
      </c>
      <c r="B13" s="139">
        <v>46076</v>
      </c>
      <c r="C13" s="131" t="s">
        <v>765</v>
      </c>
      <c r="D13" s="143" t="s">
        <v>766</v>
      </c>
      <c r="E13" s="173" t="s">
        <v>130</v>
      </c>
      <c r="F13" s="115" t="s">
        <v>123</v>
      </c>
      <c r="G13" s="110" t="s">
        <v>754</v>
      </c>
      <c r="H13" s="134" t="s">
        <v>142</v>
      </c>
      <c r="I13" s="88"/>
    </row>
    <row r="14" spans="1:9">
      <c r="A14" s="115">
        <v>13</v>
      </c>
      <c r="B14" s="139">
        <v>46076</v>
      </c>
      <c r="C14" s="131" t="s">
        <v>767</v>
      </c>
      <c r="D14" s="143" t="s">
        <v>768</v>
      </c>
      <c r="E14" s="173" t="s">
        <v>130</v>
      </c>
      <c r="F14" s="115" t="s">
        <v>125</v>
      </c>
      <c r="G14" s="110" t="s">
        <v>769</v>
      </c>
      <c r="H14" s="134" t="s">
        <v>142</v>
      </c>
      <c r="I14" s="88"/>
    </row>
    <row r="15" spans="1:9">
      <c r="A15" s="115">
        <v>14</v>
      </c>
      <c r="B15" s="139">
        <v>46076</v>
      </c>
      <c r="C15" s="131" t="s">
        <v>770</v>
      </c>
      <c r="D15" s="143" t="s">
        <v>771</v>
      </c>
      <c r="E15" s="173" t="s">
        <v>131</v>
      </c>
      <c r="F15" s="115" t="s">
        <v>123</v>
      </c>
      <c r="G15" s="110" t="s">
        <v>754</v>
      </c>
      <c r="H15" s="134" t="s">
        <v>142</v>
      </c>
      <c r="I15" s="124" t="s">
        <v>772</v>
      </c>
    </row>
    <row r="16" spans="1:9">
      <c r="A16" s="115">
        <v>15</v>
      </c>
      <c r="B16" s="139">
        <v>46076</v>
      </c>
      <c r="C16" s="131" t="s">
        <v>773</v>
      </c>
      <c r="D16" s="143" t="s">
        <v>771</v>
      </c>
      <c r="E16" s="173" t="s">
        <v>131</v>
      </c>
      <c r="F16" s="115" t="s">
        <v>123</v>
      </c>
      <c r="G16" s="110" t="s">
        <v>754</v>
      </c>
      <c r="H16" s="134" t="s">
        <v>142</v>
      </c>
      <c r="I16" s="118" t="s">
        <v>774</v>
      </c>
    </row>
    <row r="17" spans="1:9">
      <c r="A17" s="115">
        <v>16</v>
      </c>
      <c r="B17" s="139">
        <v>46076</v>
      </c>
      <c r="C17" s="131" t="s">
        <v>775</v>
      </c>
      <c r="D17" s="143" t="s">
        <v>771</v>
      </c>
      <c r="E17" s="173" t="s">
        <v>128</v>
      </c>
      <c r="F17" s="115" t="s">
        <v>125</v>
      </c>
      <c r="G17" s="110" t="s">
        <v>754</v>
      </c>
      <c r="H17" s="134" t="s">
        <v>142</v>
      </c>
      <c r="I17" s="88"/>
    </row>
    <row r="18" spans="1:9" ht="43.5">
      <c r="A18" s="115">
        <v>17</v>
      </c>
      <c r="B18" s="139">
        <v>46076</v>
      </c>
      <c r="C18" s="131" t="s">
        <v>776</v>
      </c>
      <c r="D18" s="143" t="s">
        <v>764</v>
      </c>
      <c r="E18" s="173" t="s">
        <v>130</v>
      </c>
      <c r="F18" s="115" t="s">
        <v>123</v>
      </c>
      <c r="G18" s="110" t="s">
        <v>769</v>
      </c>
      <c r="H18" s="134" t="s">
        <v>142</v>
      </c>
      <c r="I18" s="88"/>
    </row>
    <row r="19" spans="1:9">
      <c r="A19" s="115">
        <v>18</v>
      </c>
      <c r="B19" s="139">
        <v>46076</v>
      </c>
      <c r="C19" s="131" t="s">
        <v>777</v>
      </c>
      <c r="D19" s="143" t="s">
        <v>778</v>
      </c>
      <c r="E19" s="173" t="s">
        <v>129</v>
      </c>
      <c r="F19" s="115" t="s">
        <v>123</v>
      </c>
      <c r="G19" s="110" t="s">
        <v>750</v>
      </c>
      <c r="H19" s="134" t="s">
        <v>142</v>
      </c>
      <c r="I19" s="88"/>
    </row>
    <row r="20" spans="1:9">
      <c r="A20" s="115">
        <v>19</v>
      </c>
      <c r="B20" s="139">
        <v>46076</v>
      </c>
      <c r="C20" s="131" t="s">
        <v>779</v>
      </c>
      <c r="D20" s="143" t="s">
        <v>764</v>
      </c>
      <c r="E20" s="173" t="s">
        <v>130</v>
      </c>
      <c r="F20" s="115" t="s">
        <v>123</v>
      </c>
      <c r="G20" s="110" t="s">
        <v>754</v>
      </c>
      <c r="H20" s="134" t="s">
        <v>142</v>
      </c>
      <c r="I20" s="88"/>
    </row>
    <row r="21" spans="1:9">
      <c r="A21" s="115">
        <v>20</v>
      </c>
      <c r="B21" s="139">
        <v>46076</v>
      </c>
      <c r="C21" s="131" t="s">
        <v>780</v>
      </c>
      <c r="D21" s="143" t="s">
        <v>771</v>
      </c>
      <c r="E21" s="173" t="s">
        <v>131</v>
      </c>
      <c r="F21" s="115" t="s">
        <v>123</v>
      </c>
      <c r="G21" s="110" t="s">
        <v>754</v>
      </c>
      <c r="H21" s="134" t="s">
        <v>142</v>
      </c>
      <c r="I21" s="118" t="s">
        <v>781</v>
      </c>
    </row>
    <row r="22" spans="1:9">
      <c r="A22" s="115">
        <v>21</v>
      </c>
      <c r="B22" s="139">
        <v>46076</v>
      </c>
      <c r="C22" s="131" t="s">
        <v>782</v>
      </c>
      <c r="D22" s="143" t="s">
        <v>749</v>
      </c>
      <c r="E22" s="173" t="s">
        <v>129</v>
      </c>
      <c r="F22" s="115" t="s">
        <v>123</v>
      </c>
      <c r="G22" s="110" t="s">
        <v>750</v>
      </c>
      <c r="H22" s="134" t="s">
        <v>142</v>
      </c>
      <c r="I22" s="88"/>
    </row>
    <row r="23" spans="1:9">
      <c r="A23" s="115">
        <v>22</v>
      </c>
      <c r="B23" s="139">
        <v>46076</v>
      </c>
      <c r="C23" s="131" t="s">
        <v>783</v>
      </c>
      <c r="D23" s="143" t="s">
        <v>749</v>
      </c>
      <c r="E23" s="173" t="s">
        <v>129</v>
      </c>
      <c r="F23" s="115" t="s">
        <v>123</v>
      </c>
      <c r="G23" s="110" t="s">
        <v>750</v>
      </c>
      <c r="H23" s="134" t="s">
        <v>142</v>
      </c>
      <c r="I23" s="88"/>
    </row>
    <row r="24" spans="1:9">
      <c r="A24" s="115">
        <v>23</v>
      </c>
      <c r="B24" s="139">
        <v>46076</v>
      </c>
      <c r="C24" s="131" t="s">
        <v>784</v>
      </c>
      <c r="D24" s="143" t="s">
        <v>785</v>
      </c>
      <c r="E24" s="173" t="s">
        <v>130</v>
      </c>
      <c r="F24" s="115" t="s">
        <v>136</v>
      </c>
      <c r="G24" s="110"/>
      <c r="H24" s="134" t="s">
        <v>142</v>
      </c>
      <c r="I24" s="88"/>
    </row>
    <row r="25" spans="1:9">
      <c r="A25" s="115">
        <v>24</v>
      </c>
      <c r="B25" s="139">
        <v>46076</v>
      </c>
      <c r="C25" s="131" t="s">
        <v>786</v>
      </c>
      <c r="D25" s="143" t="s">
        <v>785</v>
      </c>
      <c r="E25" s="173" t="s">
        <v>130</v>
      </c>
      <c r="F25" s="115" t="s">
        <v>136</v>
      </c>
      <c r="G25" s="110"/>
      <c r="H25" s="134" t="s">
        <v>142</v>
      </c>
      <c r="I25" s="88"/>
    </row>
    <row r="26" spans="1:9">
      <c r="A26" s="115">
        <v>25</v>
      </c>
      <c r="B26" s="139">
        <v>46076</v>
      </c>
      <c r="C26" s="131" t="s">
        <v>787</v>
      </c>
      <c r="D26" s="143" t="s">
        <v>785</v>
      </c>
      <c r="E26" s="173" t="s">
        <v>130</v>
      </c>
      <c r="F26" s="115" t="s">
        <v>136</v>
      </c>
      <c r="G26" s="110"/>
      <c r="H26" s="134" t="s">
        <v>142</v>
      </c>
      <c r="I26" s="88"/>
    </row>
    <row r="27" spans="1:9">
      <c r="A27" s="115">
        <v>26</v>
      </c>
      <c r="B27" s="139">
        <v>46077</v>
      </c>
      <c r="C27" s="131" t="s">
        <v>788</v>
      </c>
      <c r="D27" s="143" t="s">
        <v>789</v>
      </c>
      <c r="E27" s="173" t="s">
        <v>130</v>
      </c>
      <c r="F27" s="115" t="s">
        <v>123</v>
      </c>
      <c r="G27" s="110" t="s">
        <v>790</v>
      </c>
      <c r="H27" s="134" t="s">
        <v>142</v>
      </c>
      <c r="I27" s="88"/>
    </row>
    <row r="28" spans="1:9">
      <c r="A28" s="115">
        <v>27</v>
      </c>
      <c r="B28" s="139">
        <v>46077</v>
      </c>
      <c r="C28" s="131" t="s">
        <v>791</v>
      </c>
      <c r="D28" s="143" t="s">
        <v>789</v>
      </c>
      <c r="E28" s="173" t="s">
        <v>130</v>
      </c>
      <c r="F28" s="115" t="s">
        <v>123</v>
      </c>
      <c r="G28" s="110" t="s">
        <v>790</v>
      </c>
      <c r="H28" s="134" t="s">
        <v>142</v>
      </c>
      <c r="I28" s="88"/>
    </row>
    <row r="29" spans="1:9">
      <c r="A29" s="115">
        <v>28</v>
      </c>
      <c r="B29" s="139">
        <v>46077</v>
      </c>
      <c r="C29" s="131" t="s">
        <v>792</v>
      </c>
      <c r="D29" s="143" t="s">
        <v>789</v>
      </c>
      <c r="E29" s="173" t="s">
        <v>128</v>
      </c>
      <c r="F29" s="115" t="s">
        <v>123</v>
      </c>
      <c r="G29" s="110" t="s">
        <v>769</v>
      </c>
      <c r="H29" s="134" t="s">
        <v>142</v>
      </c>
      <c r="I29" s="88"/>
    </row>
    <row r="30" spans="1:9">
      <c r="A30" s="115">
        <v>29</v>
      </c>
      <c r="B30" s="139">
        <v>46077</v>
      </c>
      <c r="C30" s="131" t="s">
        <v>793</v>
      </c>
      <c r="D30" s="143" t="s">
        <v>771</v>
      </c>
      <c r="E30" s="173" t="s">
        <v>131</v>
      </c>
      <c r="F30" s="115" t="s">
        <v>123</v>
      </c>
      <c r="G30" s="110" t="s">
        <v>754</v>
      </c>
      <c r="H30" s="134" t="s">
        <v>142</v>
      </c>
      <c r="I30" s="88"/>
    </row>
    <row r="31" spans="1:9">
      <c r="A31" s="115">
        <v>30</v>
      </c>
      <c r="B31" s="139">
        <v>46077</v>
      </c>
      <c r="C31" s="131" t="s">
        <v>794</v>
      </c>
      <c r="D31" s="143" t="s">
        <v>789</v>
      </c>
      <c r="E31" s="173" t="s">
        <v>131</v>
      </c>
      <c r="F31" s="115" t="s">
        <v>124</v>
      </c>
      <c r="G31" s="110" t="s">
        <v>754</v>
      </c>
      <c r="H31" s="134" t="s">
        <v>142</v>
      </c>
      <c r="I31" s="88"/>
    </row>
    <row r="32" spans="1:9" ht="15">
      <c r="A32" s="115">
        <v>31</v>
      </c>
      <c r="B32" s="139">
        <v>46077</v>
      </c>
      <c r="C32" s="131" t="s">
        <v>795</v>
      </c>
      <c r="D32" s="143" t="s">
        <v>789</v>
      </c>
      <c r="E32" s="173" t="s">
        <v>129</v>
      </c>
      <c r="F32" s="115" t="s">
        <v>124</v>
      </c>
      <c r="G32" s="110" t="s">
        <v>750</v>
      </c>
      <c r="H32" s="134" t="s">
        <v>142</v>
      </c>
      <c r="I32" s="88" t="s">
        <v>141</v>
      </c>
    </row>
    <row r="33" spans="1:9">
      <c r="A33" s="115">
        <v>32</v>
      </c>
      <c r="B33" s="139">
        <v>46077</v>
      </c>
      <c r="C33" s="131" t="s">
        <v>796</v>
      </c>
      <c r="D33" s="143" t="s">
        <v>797</v>
      </c>
      <c r="E33" s="173" t="s">
        <v>130</v>
      </c>
      <c r="F33" s="115" t="s">
        <v>123</v>
      </c>
      <c r="G33" s="110" t="s">
        <v>754</v>
      </c>
      <c r="H33" s="134" t="s">
        <v>142</v>
      </c>
      <c r="I33" s="88"/>
    </row>
    <row r="34" spans="1:9">
      <c r="A34" s="115">
        <v>33</v>
      </c>
      <c r="B34" s="139">
        <v>46077</v>
      </c>
      <c r="C34" s="131" t="s">
        <v>798</v>
      </c>
      <c r="D34" s="143" t="s">
        <v>789</v>
      </c>
      <c r="E34" s="173" t="s">
        <v>130</v>
      </c>
      <c r="F34" s="115" t="s">
        <v>123</v>
      </c>
      <c r="G34" s="110" t="s">
        <v>754</v>
      </c>
      <c r="H34" s="134" t="s">
        <v>142</v>
      </c>
      <c r="I34" s="88"/>
    </row>
    <row r="35" spans="1:9">
      <c r="A35" s="115">
        <v>34</v>
      </c>
      <c r="B35" s="139">
        <v>46077</v>
      </c>
      <c r="C35" s="131" t="s">
        <v>799</v>
      </c>
      <c r="D35" s="143" t="s">
        <v>789</v>
      </c>
      <c r="E35" s="173" t="s">
        <v>130</v>
      </c>
      <c r="F35" s="115" t="s">
        <v>123</v>
      </c>
      <c r="G35" s="110" t="s">
        <v>754</v>
      </c>
      <c r="H35" s="134" t="s">
        <v>142</v>
      </c>
      <c r="I35" s="88"/>
    </row>
    <row r="36" spans="1:9">
      <c r="A36" s="115">
        <v>35</v>
      </c>
      <c r="B36" s="139">
        <v>46077</v>
      </c>
      <c r="C36" s="131" t="s">
        <v>800</v>
      </c>
      <c r="D36" s="143" t="s">
        <v>789</v>
      </c>
      <c r="E36" s="173" t="s">
        <v>130</v>
      </c>
      <c r="F36" s="115" t="s">
        <v>123</v>
      </c>
      <c r="G36" s="110" t="s">
        <v>754</v>
      </c>
      <c r="H36" s="134" t="s">
        <v>142</v>
      </c>
      <c r="I36" s="88"/>
    </row>
    <row r="37" spans="1:9">
      <c r="A37" s="115">
        <v>36</v>
      </c>
      <c r="B37" s="139">
        <v>46078</v>
      </c>
      <c r="C37" s="131" t="s">
        <v>801</v>
      </c>
      <c r="D37" s="143" t="s">
        <v>2</v>
      </c>
      <c r="E37" s="173" t="s">
        <v>130</v>
      </c>
      <c r="F37" s="115" t="s">
        <v>123</v>
      </c>
      <c r="G37" s="110" t="s">
        <v>754</v>
      </c>
      <c r="H37" s="134" t="s">
        <v>142</v>
      </c>
      <c r="I37" s="88"/>
    </row>
    <row r="38" spans="1:9">
      <c r="A38" s="115">
        <v>37</v>
      </c>
      <c r="B38" s="139">
        <v>46078</v>
      </c>
      <c r="C38" s="131" t="s">
        <v>802</v>
      </c>
      <c r="D38" s="143" t="s">
        <v>789</v>
      </c>
      <c r="E38" s="173" t="s">
        <v>128</v>
      </c>
      <c r="F38" s="115" t="s">
        <v>123</v>
      </c>
      <c r="G38" s="110" t="s">
        <v>769</v>
      </c>
      <c r="H38" s="134" t="s">
        <v>142</v>
      </c>
      <c r="I38" s="88"/>
    </row>
    <row r="39" spans="1:9">
      <c r="A39" s="115">
        <v>38</v>
      </c>
      <c r="B39" s="139">
        <v>46078</v>
      </c>
      <c r="C39" s="131" t="s">
        <v>803</v>
      </c>
      <c r="D39" s="143" t="s">
        <v>789</v>
      </c>
      <c r="E39" s="173" t="s">
        <v>130</v>
      </c>
      <c r="F39" s="115" t="s">
        <v>123</v>
      </c>
      <c r="G39" s="110" t="s">
        <v>769</v>
      </c>
      <c r="H39" s="134" t="s">
        <v>142</v>
      </c>
      <c r="I39" s="88"/>
    </row>
    <row r="40" spans="1:9">
      <c r="A40" s="115">
        <v>39</v>
      </c>
      <c r="B40" s="139">
        <v>46078</v>
      </c>
      <c r="C40" s="131" t="s">
        <v>804</v>
      </c>
      <c r="D40" s="143" t="s">
        <v>789</v>
      </c>
      <c r="E40" s="173" t="s">
        <v>128</v>
      </c>
      <c r="F40" s="115" t="s">
        <v>123</v>
      </c>
      <c r="G40" s="110" t="s">
        <v>769</v>
      </c>
      <c r="H40" s="134" t="s">
        <v>142</v>
      </c>
      <c r="I40" s="88"/>
    </row>
    <row r="41" spans="1:9">
      <c r="A41" s="115">
        <v>40</v>
      </c>
      <c r="B41" s="139">
        <v>46078</v>
      </c>
      <c r="C41" s="131" t="s">
        <v>805</v>
      </c>
      <c r="D41" s="143" t="s">
        <v>806</v>
      </c>
      <c r="E41" s="173" t="s">
        <v>131</v>
      </c>
      <c r="F41" s="115" t="s">
        <v>123</v>
      </c>
      <c r="G41" s="110" t="s">
        <v>754</v>
      </c>
      <c r="H41" s="134" t="s">
        <v>142</v>
      </c>
      <c r="I41" s="88"/>
    </row>
    <row r="42" spans="1:9">
      <c r="A42" s="115">
        <v>41</v>
      </c>
      <c r="B42" s="139">
        <v>46078</v>
      </c>
      <c r="C42" s="131" t="s">
        <v>807</v>
      </c>
      <c r="D42" s="143" t="s">
        <v>808</v>
      </c>
      <c r="E42" s="173" t="s">
        <v>131</v>
      </c>
      <c r="F42" s="115" t="s">
        <v>123</v>
      </c>
      <c r="G42" s="110" t="s">
        <v>754</v>
      </c>
      <c r="H42" s="134" t="s">
        <v>142</v>
      </c>
      <c r="I42" s="88" t="s">
        <v>809</v>
      </c>
    </row>
    <row r="43" spans="1:9">
      <c r="A43" s="115">
        <v>42</v>
      </c>
      <c r="B43" s="139">
        <v>46078</v>
      </c>
      <c r="C43" s="131" t="s">
        <v>810</v>
      </c>
      <c r="D43" s="143" t="s">
        <v>483</v>
      </c>
      <c r="E43" s="173" t="s">
        <v>131</v>
      </c>
      <c r="F43" s="115" t="s">
        <v>123</v>
      </c>
      <c r="G43" s="110" t="s">
        <v>769</v>
      </c>
      <c r="H43" s="134" t="s">
        <v>142</v>
      </c>
      <c r="I43" s="88"/>
    </row>
    <row r="44" spans="1:9" ht="15">
      <c r="A44" s="115">
        <v>43</v>
      </c>
      <c r="B44" s="139">
        <v>46078</v>
      </c>
      <c r="C44" s="131" t="s">
        <v>811</v>
      </c>
      <c r="D44" s="143" t="s">
        <v>812</v>
      </c>
      <c r="E44" s="173" t="s">
        <v>129</v>
      </c>
      <c r="F44" s="115" t="s">
        <v>125</v>
      </c>
      <c r="G44" s="110" t="s">
        <v>813</v>
      </c>
      <c r="H44" s="134" t="s">
        <v>142</v>
      </c>
      <c r="I44" s="88"/>
    </row>
    <row r="45" spans="1:9">
      <c r="A45" s="115">
        <v>44</v>
      </c>
      <c r="B45" s="139">
        <v>46078</v>
      </c>
      <c r="C45" s="131" t="s">
        <v>814</v>
      </c>
      <c r="D45" s="143" t="s">
        <v>815</v>
      </c>
      <c r="E45" s="173" t="s">
        <v>149</v>
      </c>
      <c r="F45" s="115" t="s">
        <v>123</v>
      </c>
      <c r="G45" s="110" t="s">
        <v>750</v>
      </c>
      <c r="H45" s="134" t="s">
        <v>142</v>
      </c>
      <c r="I45" s="88"/>
    </row>
    <row r="46" spans="1:9">
      <c r="A46" s="115">
        <v>45</v>
      </c>
      <c r="B46" s="139">
        <v>46078</v>
      </c>
      <c r="C46" s="131" t="s">
        <v>816</v>
      </c>
      <c r="D46" s="143" t="s">
        <v>815</v>
      </c>
      <c r="E46" s="173" t="s">
        <v>149</v>
      </c>
      <c r="F46" s="115" t="s">
        <v>123</v>
      </c>
      <c r="G46" s="110" t="s">
        <v>750</v>
      </c>
      <c r="H46" s="134" t="s">
        <v>142</v>
      </c>
      <c r="I46" s="88"/>
    </row>
    <row r="47" spans="1:9">
      <c r="A47" s="116">
        <v>46</v>
      </c>
      <c r="B47" s="140">
        <v>46078</v>
      </c>
      <c r="C47" s="183" t="s">
        <v>817</v>
      </c>
      <c r="D47" s="144" t="s">
        <v>815</v>
      </c>
      <c r="E47" s="176" t="s">
        <v>149</v>
      </c>
      <c r="F47" s="116" t="s">
        <v>124</v>
      </c>
      <c r="G47" s="114" t="s">
        <v>750</v>
      </c>
      <c r="H47" s="134" t="s">
        <v>142</v>
      </c>
      <c r="I47" s="113"/>
    </row>
    <row r="48" spans="1:9">
      <c r="A48" s="115">
        <v>47</v>
      </c>
      <c r="B48" s="139">
        <v>46078</v>
      </c>
      <c r="C48" s="131" t="s">
        <v>818</v>
      </c>
      <c r="D48" s="143" t="s">
        <v>819</v>
      </c>
      <c r="E48" s="173" t="s">
        <v>129</v>
      </c>
      <c r="F48" s="115" t="s">
        <v>124</v>
      </c>
      <c r="G48" s="110" t="s">
        <v>750</v>
      </c>
      <c r="H48" s="134" t="s">
        <v>142</v>
      </c>
      <c r="I48" s="88" t="s">
        <v>820</v>
      </c>
    </row>
    <row r="49" spans="1:9">
      <c r="A49" s="115">
        <v>48</v>
      </c>
      <c r="B49" s="139">
        <v>46078</v>
      </c>
      <c r="C49" s="131" t="s">
        <v>821</v>
      </c>
      <c r="D49" s="143" t="s">
        <v>819</v>
      </c>
      <c r="E49" s="173" t="s">
        <v>129</v>
      </c>
      <c r="F49" s="115" t="s">
        <v>123</v>
      </c>
      <c r="G49" s="110" t="s">
        <v>750</v>
      </c>
      <c r="H49" s="134" t="s">
        <v>142</v>
      </c>
      <c r="I49" s="88"/>
    </row>
    <row r="50" spans="1:9">
      <c r="A50" s="115">
        <v>49</v>
      </c>
      <c r="B50" s="139">
        <v>46078</v>
      </c>
      <c r="C50" s="131" t="s">
        <v>822</v>
      </c>
      <c r="D50" s="143" t="s">
        <v>766</v>
      </c>
      <c r="E50" s="173" t="s">
        <v>130</v>
      </c>
      <c r="F50" s="115" t="s">
        <v>123</v>
      </c>
      <c r="G50" s="110" t="s">
        <v>769</v>
      </c>
      <c r="H50" s="134" t="s">
        <v>142</v>
      </c>
      <c r="I50" s="88"/>
    </row>
    <row r="51" spans="1:9">
      <c r="A51" s="115">
        <v>50</v>
      </c>
      <c r="B51" s="139">
        <v>46078</v>
      </c>
      <c r="C51" s="131" t="s">
        <v>823</v>
      </c>
      <c r="D51" s="143" t="s">
        <v>785</v>
      </c>
      <c r="E51" s="173" t="s">
        <v>130</v>
      </c>
      <c r="F51" s="115" t="s">
        <v>136</v>
      </c>
      <c r="G51" s="110" t="s">
        <v>754</v>
      </c>
      <c r="H51" s="134" t="s">
        <v>142</v>
      </c>
      <c r="I51" s="88"/>
    </row>
    <row r="52" spans="1:9">
      <c r="A52" s="115">
        <v>51</v>
      </c>
      <c r="B52" s="139">
        <v>46078</v>
      </c>
      <c r="C52" s="131" t="s">
        <v>824</v>
      </c>
      <c r="D52" s="143" t="s">
        <v>372</v>
      </c>
      <c r="E52" s="173" t="s">
        <v>145</v>
      </c>
      <c r="F52" s="115" t="s">
        <v>125</v>
      </c>
      <c r="G52" s="110"/>
      <c r="H52" s="134" t="s">
        <v>141</v>
      </c>
      <c r="I52" s="88" t="s">
        <v>825</v>
      </c>
    </row>
    <row r="53" spans="1:9" ht="29.1">
      <c r="A53" s="115">
        <v>52</v>
      </c>
      <c r="B53" s="139">
        <v>46078</v>
      </c>
      <c r="C53" s="131" t="s">
        <v>826</v>
      </c>
      <c r="D53" s="143" t="s">
        <v>789</v>
      </c>
      <c r="E53" s="173" t="s">
        <v>148</v>
      </c>
      <c r="F53" s="115" t="s">
        <v>137</v>
      </c>
      <c r="G53" s="110" t="s">
        <v>813</v>
      </c>
      <c r="H53" s="134" t="s">
        <v>142</v>
      </c>
      <c r="I53" s="88"/>
    </row>
    <row r="54" spans="1:9">
      <c r="A54" s="115">
        <v>53</v>
      </c>
      <c r="B54" s="139">
        <v>46078</v>
      </c>
      <c r="C54" s="131" t="s">
        <v>827</v>
      </c>
      <c r="D54" s="143" t="s">
        <v>789</v>
      </c>
      <c r="E54" s="173" t="s">
        <v>128</v>
      </c>
      <c r="F54" s="115" t="s">
        <v>123</v>
      </c>
      <c r="G54" s="110" t="s">
        <v>769</v>
      </c>
      <c r="H54" s="134" t="s">
        <v>142</v>
      </c>
      <c r="I54" s="88"/>
    </row>
    <row r="55" spans="1:9" ht="29.1">
      <c r="A55" s="115">
        <v>54</v>
      </c>
      <c r="B55" s="139">
        <v>46077</v>
      </c>
      <c r="C55" s="131" t="s">
        <v>828</v>
      </c>
      <c r="D55" s="143" t="s">
        <v>789</v>
      </c>
      <c r="E55" s="173" t="s">
        <v>129</v>
      </c>
      <c r="F55" s="115" t="s">
        <v>123</v>
      </c>
      <c r="G55" s="110" t="s">
        <v>769</v>
      </c>
      <c r="H55" s="134" t="s">
        <v>142</v>
      </c>
      <c r="I55" s="88"/>
    </row>
    <row r="56" spans="1:9">
      <c r="A56" s="115">
        <v>55</v>
      </c>
      <c r="B56" s="139">
        <v>46079</v>
      </c>
      <c r="C56" s="131" t="s">
        <v>829</v>
      </c>
      <c r="D56" s="143" t="s">
        <v>830</v>
      </c>
      <c r="E56" s="173" t="s">
        <v>146</v>
      </c>
      <c r="F56" s="115" t="s">
        <v>125</v>
      </c>
      <c r="G56" s="110"/>
      <c r="H56" s="134" t="s">
        <v>141</v>
      </c>
      <c r="I56" s="88"/>
    </row>
    <row r="57" spans="1:9">
      <c r="A57" s="115">
        <v>56</v>
      </c>
      <c r="B57" s="139">
        <v>46079</v>
      </c>
      <c r="C57" s="131" t="s">
        <v>831</v>
      </c>
      <c r="D57" s="143"/>
      <c r="E57" s="173" t="s">
        <v>145</v>
      </c>
      <c r="F57" s="115" t="s">
        <v>125</v>
      </c>
      <c r="G57" s="110"/>
      <c r="H57" s="134" t="s">
        <v>141</v>
      </c>
      <c r="I57" s="88"/>
    </row>
    <row r="58" spans="1:9">
      <c r="A58" s="115">
        <v>57</v>
      </c>
      <c r="B58" s="139">
        <v>46079</v>
      </c>
      <c r="C58" s="131" t="s">
        <v>832</v>
      </c>
      <c r="D58" s="143" t="s">
        <v>819</v>
      </c>
      <c r="E58" s="173" t="s">
        <v>131</v>
      </c>
      <c r="F58" s="115" t="s">
        <v>123</v>
      </c>
      <c r="G58" s="110"/>
      <c r="H58" s="134" t="s">
        <v>142</v>
      </c>
      <c r="I58" s="88"/>
    </row>
    <row r="59" spans="1:9">
      <c r="A59" s="115">
        <v>58</v>
      </c>
      <c r="B59" s="139">
        <v>46080</v>
      </c>
      <c r="C59" s="131" t="s">
        <v>833</v>
      </c>
      <c r="D59" s="143"/>
      <c r="E59" s="173" t="s">
        <v>131</v>
      </c>
      <c r="F59" s="115" t="s">
        <v>123</v>
      </c>
      <c r="G59" s="110"/>
      <c r="H59" s="134" t="s">
        <v>142</v>
      </c>
      <c r="I59" s="88"/>
    </row>
    <row r="60" spans="1:9">
      <c r="A60" s="115">
        <v>59</v>
      </c>
      <c r="B60" s="139">
        <v>46080</v>
      </c>
      <c r="C60" s="131" t="s">
        <v>834</v>
      </c>
      <c r="D60" s="143"/>
      <c r="E60" s="173" t="s">
        <v>131</v>
      </c>
      <c r="F60" s="115" t="s">
        <v>123</v>
      </c>
      <c r="G60" s="110"/>
      <c r="H60" s="134" t="s">
        <v>142</v>
      </c>
      <c r="I60" s="88"/>
    </row>
    <row r="61" spans="1:9">
      <c r="A61" s="115">
        <v>60</v>
      </c>
      <c r="B61" s="139">
        <v>46080</v>
      </c>
      <c r="C61" s="131" t="s">
        <v>835</v>
      </c>
      <c r="D61" s="143"/>
      <c r="E61" s="173" t="s">
        <v>131</v>
      </c>
      <c r="F61" s="115" t="s">
        <v>123</v>
      </c>
      <c r="G61" s="110"/>
      <c r="H61" s="134" t="s">
        <v>142</v>
      </c>
      <c r="I61" s="88"/>
    </row>
    <row r="62" spans="1:9">
      <c r="A62" s="115">
        <v>61</v>
      </c>
      <c r="B62" s="139">
        <v>46080</v>
      </c>
      <c r="C62" s="131" t="s">
        <v>836</v>
      </c>
      <c r="D62" s="143"/>
      <c r="E62" s="173" t="s">
        <v>131</v>
      </c>
      <c r="F62" s="115" t="s">
        <v>123</v>
      </c>
      <c r="G62" s="110"/>
      <c r="H62" s="134" t="s">
        <v>142</v>
      </c>
      <c r="I62" s="88"/>
    </row>
    <row r="63" spans="1:9">
      <c r="A63" s="115">
        <v>62</v>
      </c>
      <c r="B63" s="139">
        <v>46080</v>
      </c>
      <c r="C63" s="131" t="s">
        <v>837</v>
      </c>
      <c r="D63" s="143"/>
      <c r="E63" s="173" t="s">
        <v>129</v>
      </c>
      <c r="F63" s="115" t="s">
        <v>123</v>
      </c>
      <c r="G63" s="110"/>
      <c r="H63" s="134" t="s">
        <v>142</v>
      </c>
      <c r="I63" s="88" t="s">
        <v>838</v>
      </c>
    </row>
    <row r="64" spans="1:9">
      <c r="A64" s="115">
        <v>63</v>
      </c>
      <c r="B64" s="139">
        <v>46080</v>
      </c>
      <c r="C64" s="131" t="s">
        <v>839</v>
      </c>
      <c r="D64" s="143"/>
      <c r="E64" s="173" t="s">
        <v>129</v>
      </c>
      <c r="F64" s="115" t="s">
        <v>125</v>
      </c>
      <c r="G64" s="110"/>
      <c r="H64" s="134" t="s">
        <v>142</v>
      </c>
      <c r="I64" s="88"/>
    </row>
    <row r="65" spans="1:9">
      <c r="A65" s="115">
        <v>64</v>
      </c>
      <c r="B65" s="139">
        <v>46080</v>
      </c>
      <c r="C65" s="131" t="s">
        <v>840</v>
      </c>
      <c r="D65" s="143"/>
      <c r="E65" s="173" t="s">
        <v>131</v>
      </c>
      <c r="F65" s="115" t="s">
        <v>123</v>
      </c>
      <c r="G65" s="110"/>
      <c r="H65" s="134" t="s">
        <v>142</v>
      </c>
      <c r="I65" s="88"/>
    </row>
    <row r="66" spans="1:9">
      <c r="A66" s="115">
        <v>65</v>
      </c>
      <c r="B66" s="140">
        <v>46077</v>
      </c>
      <c r="C66" s="132" t="s">
        <v>841</v>
      </c>
      <c r="D66" s="144"/>
      <c r="E66" s="173" t="s">
        <v>145</v>
      </c>
      <c r="F66" s="116" t="s">
        <v>125</v>
      </c>
      <c r="G66" s="114"/>
      <c r="H66" s="135" t="s">
        <v>141</v>
      </c>
      <c r="I66" s="88"/>
    </row>
    <row r="67" spans="1:9">
      <c r="A67" s="137">
        <v>66</v>
      </c>
      <c r="B67" s="139">
        <v>46076</v>
      </c>
      <c r="C67" s="131" t="s">
        <v>842</v>
      </c>
      <c r="D67" s="143"/>
      <c r="E67" s="173" t="s">
        <v>145</v>
      </c>
      <c r="F67" s="116" t="s">
        <v>125</v>
      </c>
      <c r="G67" s="110"/>
      <c r="H67" s="134" t="s">
        <v>141</v>
      </c>
      <c r="I67" s="129"/>
    </row>
    <row r="68" spans="1:9">
      <c r="A68" s="137">
        <v>67</v>
      </c>
      <c r="B68" s="139">
        <v>46078</v>
      </c>
      <c r="C68" s="131" t="s">
        <v>843</v>
      </c>
      <c r="D68" s="143"/>
      <c r="E68" s="173" t="s">
        <v>145</v>
      </c>
      <c r="F68" s="116" t="s">
        <v>125</v>
      </c>
      <c r="G68" s="110"/>
      <c r="H68" s="134" t="s">
        <v>141</v>
      </c>
      <c r="I68" s="129"/>
    </row>
    <row r="69" spans="1:9">
      <c r="A69" s="137">
        <v>68</v>
      </c>
      <c r="B69" s="139">
        <v>46080</v>
      </c>
      <c r="C69" s="131" t="s">
        <v>844</v>
      </c>
      <c r="D69" s="143"/>
      <c r="E69" s="173" t="s">
        <v>145</v>
      </c>
      <c r="F69" s="116" t="s">
        <v>125</v>
      </c>
      <c r="G69" s="110"/>
      <c r="H69" s="134" t="s">
        <v>141</v>
      </c>
      <c r="I69" s="129"/>
    </row>
    <row r="70" spans="1:9">
      <c r="A70" s="137">
        <v>69</v>
      </c>
      <c r="B70" s="139">
        <v>46079</v>
      </c>
      <c r="C70" s="131" t="s">
        <v>845</v>
      </c>
      <c r="D70" s="143"/>
      <c r="E70" s="173" t="s">
        <v>145</v>
      </c>
      <c r="F70" s="116" t="s">
        <v>125</v>
      </c>
      <c r="G70" s="110"/>
      <c r="H70" s="134" t="s">
        <v>141</v>
      </c>
      <c r="I70" s="129"/>
    </row>
    <row r="71" spans="1:9" ht="29.1">
      <c r="A71" s="115">
        <v>70</v>
      </c>
      <c r="B71" s="141">
        <v>46080</v>
      </c>
      <c r="C71" s="131" t="s">
        <v>846</v>
      </c>
      <c r="D71" s="145"/>
      <c r="E71" s="177" t="s">
        <v>145</v>
      </c>
      <c r="F71" s="115" t="s">
        <v>123</v>
      </c>
      <c r="G71" s="175"/>
      <c r="H71" s="138" t="s">
        <v>141</v>
      </c>
      <c r="I71" s="88"/>
    </row>
    <row r="72" spans="1:9">
      <c r="A72" s="115">
        <v>71</v>
      </c>
      <c r="B72" s="139">
        <v>46076</v>
      </c>
      <c r="C72" s="131" t="s">
        <v>847</v>
      </c>
      <c r="D72" s="143"/>
      <c r="E72" s="173" t="s">
        <v>145</v>
      </c>
      <c r="F72" s="130" t="s">
        <v>125</v>
      </c>
      <c r="G72" s="110"/>
      <c r="H72" s="134" t="s">
        <v>141</v>
      </c>
      <c r="I72" s="88"/>
    </row>
    <row r="73" spans="1:9">
      <c r="A73" s="115">
        <v>72</v>
      </c>
      <c r="B73" s="139">
        <v>46083</v>
      </c>
      <c r="C73" s="131" t="s">
        <v>848</v>
      </c>
      <c r="D73" s="143"/>
      <c r="E73" s="173" t="s">
        <v>129</v>
      </c>
      <c r="F73" s="115" t="s">
        <v>123</v>
      </c>
      <c r="G73" s="110"/>
      <c r="H73" s="134" t="s">
        <v>142</v>
      </c>
      <c r="I73" s="88"/>
    </row>
    <row r="74" spans="1:9">
      <c r="A74" s="115">
        <v>73</v>
      </c>
      <c r="B74" s="139">
        <v>46083</v>
      </c>
      <c r="C74" s="131" t="s">
        <v>849</v>
      </c>
      <c r="D74" s="143"/>
      <c r="E74" s="173" t="s">
        <v>149</v>
      </c>
      <c r="F74" s="115" t="s">
        <v>125</v>
      </c>
      <c r="G74" s="110"/>
      <c r="H74" s="134" t="s">
        <v>142</v>
      </c>
      <c r="I74" s="88"/>
    </row>
    <row r="75" spans="1:9" ht="29.1">
      <c r="A75" s="115">
        <v>74</v>
      </c>
      <c r="B75" s="139">
        <v>46083</v>
      </c>
      <c r="C75" s="131" t="s">
        <v>850</v>
      </c>
      <c r="D75" s="143"/>
      <c r="E75" s="173" t="s">
        <v>147</v>
      </c>
      <c r="F75" s="115" t="s">
        <v>125</v>
      </c>
      <c r="G75" s="110"/>
      <c r="H75" s="134" t="s">
        <v>142</v>
      </c>
      <c r="I75" s="88"/>
    </row>
    <row r="76" spans="1:9">
      <c r="A76" s="116">
        <v>75</v>
      </c>
      <c r="B76" s="140">
        <v>46083</v>
      </c>
      <c r="C76" s="132" t="s">
        <v>851</v>
      </c>
      <c r="D76" s="144"/>
      <c r="E76" s="176" t="s">
        <v>128</v>
      </c>
      <c r="F76" s="115" t="s">
        <v>124</v>
      </c>
      <c r="G76" s="114"/>
      <c r="H76" s="135" t="s">
        <v>142</v>
      </c>
      <c r="I76" s="113"/>
    </row>
    <row r="77" spans="1:9" ht="29.1">
      <c r="A77" s="115">
        <v>76</v>
      </c>
      <c r="B77" s="139">
        <v>46083</v>
      </c>
      <c r="C77" s="131" t="s">
        <v>852</v>
      </c>
      <c r="D77" s="143"/>
      <c r="E77" s="173" t="s">
        <v>147</v>
      </c>
      <c r="F77" s="115" t="s">
        <v>125</v>
      </c>
      <c r="G77" s="110"/>
      <c r="H77" s="134" t="s">
        <v>142</v>
      </c>
      <c r="I77" s="88"/>
    </row>
    <row r="78" spans="1:9">
      <c r="A78" s="115">
        <v>77</v>
      </c>
      <c r="B78" s="139">
        <v>46083</v>
      </c>
      <c r="C78" s="131" t="s">
        <v>853</v>
      </c>
      <c r="D78" s="143"/>
      <c r="E78" s="173" t="s">
        <v>150</v>
      </c>
      <c r="F78" s="115" t="s">
        <v>124</v>
      </c>
      <c r="G78" s="110"/>
      <c r="H78" s="134" t="s">
        <v>142</v>
      </c>
      <c r="I78" s="88"/>
    </row>
    <row r="79" spans="1:9">
      <c r="A79" s="115">
        <v>78</v>
      </c>
      <c r="B79" s="139">
        <v>46079</v>
      </c>
      <c r="C79" s="131" t="s">
        <v>854</v>
      </c>
      <c r="D79" s="143"/>
      <c r="E79" s="173" t="s">
        <v>146</v>
      </c>
      <c r="F79" s="115" t="s">
        <v>125</v>
      </c>
      <c r="G79" s="110"/>
      <c r="H79" s="134" t="s">
        <v>141</v>
      </c>
      <c r="I79" s="88"/>
    </row>
    <row r="80" spans="1:9">
      <c r="A80" s="115">
        <v>79</v>
      </c>
      <c r="B80" s="139">
        <v>46080</v>
      </c>
      <c r="C80" s="131" t="s">
        <v>855</v>
      </c>
      <c r="D80" s="143"/>
      <c r="E80" s="173" t="s">
        <v>130</v>
      </c>
      <c r="F80" s="115" t="s">
        <v>125</v>
      </c>
      <c r="G80" s="110"/>
      <c r="H80" s="134" t="s">
        <v>142</v>
      </c>
      <c r="I80" s="88"/>
    </row>
    <row r="81" spans="1:9">
      <c r="A81" s="115">
        <v>80</v>
      </c>
      <c r="B81" s="139">
        <v>46080</v>
      </c>
      <c r="C81" s="131" t="s">
        <v>856</v>
      </c>
      <c r="D81" s="143"/>
      <c r="E81" s="173" t="s">
        <v>131</v>
      </c>
      <c r="F81" s="115" t="s">
        <v>123</v>
      </c>
      <c r="G81" s="110"/>
      <c r="H81" s="134" t="s">
        <v>142</v>
      </c>
      <c r="I81" s="88"/>
    </row>
    <row r="82" spans="1:9">
      <c r="A82" s="115">
        <v>81</v>
      </c>
      <c r="B82" s="139">
        <v>46080</v>
      </c>
      <c r="C82" s="131" t="s">
        <v>857</v>
      </c>
      <c r="D82" s="143"/>
      <c r="E82" s="173" t="s">
        <v>128</v>
      </c>
      <c r="F82" s="115" t="s">
        <v>123</v>
      </c>
      <c r="G82" s="110"/>
      <c r="H82" s="134" t="s">
        <v>142</v>
      </c>
      <c r="I82" s="88"/>
    </row>
    <row r="83" spans="1:9">
      <c r="A83" s="115">
        <v>82</v>
      </c>
      <c r="B83" s="139">
        <v>46080</v>
      </c>
      <c r="C83" s="131" t="s">
        <v>858</v>
      </c>
      <c r="D83" s="143"/>
      <c r="E83" s="173" t="s">
        <v>131</v>
      </c>
      <c r="F83" s="115" t="s">
        <v>123</v>
      </c>
      <c r="G83" s="110"/>
      <c r="H83" s="134" t="s">
        <v>142</v>
      </c>
      <c r="I83" s="118" t="s">
        <v>859</v>
      </c>
    </row>
    <row r="84" spans="1:9" ht="29.1">
      <c r="A84" s="115">
        <v>83</v>
      </c>
      <c r="B84" s="139">
        <v>46080</v>
      </c>
      <c r="C84" s="182" t="s">
        <v>860</v>
      </c>
      <c r="D84" s="143"/>
      <c r="E84" s="173" t="s">
        <v>131</v>
      </c>
      <c r="F84" s="115" t="s">
        <v>125</v>
      </c>
      <c r="G84" s="110"/>
      <c r="H84" s="134" t="s">
        <v>142</v>
      </c>
      <c r="I84" s="88"/>
    </row>
    <row r="85" spans="1:9">
      <c r="A85" s="115">
        <v>84</v>
      </c>
      <c r="B85" s="139">
        <v>46080</v>
      </c>
      <c r="C85" s="131" t="s">
        <v>861</v>
      </c>
      <c r="D85" s="143"/>
      <c r="E85" s="173" t="s">
        <v>131</v>
      </c>
      <c r="F85" s="115" t="s">
        <v>123</v>
      </c>
      <c r="G85" s="110"/>
      <c r="H85" s="134" t="s">
        <v>142</v>
      </c>
      <c r="I85" s="88"/>
    </row>
    <row r="86" spans="1:9">
      <c r="A86" s="115">
        <v>85</v>
      </c>
      <c r="B86" s="139">
        <v>46084</v>
      </c>
      <c r="C86" s="45" t="s">
        <v>840</v>
      </c>
      <c r="D86" s="143"/>
      <c r="E86" s="173" t="s">
        <v>131</v>
      </c>
      <c r="F86" s="115" t="s">
        <v>123</v>
      </c>
      <c r="G86" s="110"/>
      <c r="H86" s="134" t="s">
        <v>142</v>
      </c>
      <c r="I86" s="118" t="s">
        <v>862</v>
      </c>
    </row>
    <row r="87" spans="1:9">
      <c r="A87" s="115">
        <v>86</v>
      </c>
      <c r="B87" s="139">
        <v>46084</v>
      </c>
      <c r="C87" s="182" t="s">
        <v>863</v>
      </c>
      <c r="D87" s="143"/>
      <c r="E87" s="173" t="s">
        <v>131</v>
      </c>
      <c r="F87" s="115" t="s">
        <v>125</v>
      </c>
      <c r="G87" s="110"/>
      <c r="H87" s="134" t="s">
        <v>142</v>
      </c>
      <c r="I87" s="88"/>
    </row>
    <row r="88" spans="1:9">
      <c r="A88" s="115">
        <v>87</v>
      </c>
      <c r="B88" s="139">
        <v>46084</v>
      </c>
      <c r="C88" s="182" t="s">
        <v>864</v>
      </c>
      <c r="D88" s="143"/>
      <c r="E88" s="173" t="s">
        <v>131</v>
      </c>
      <c r="F88" s="115" t="s">
        <v>125</v>
      </c>
      <c r="G88" s="110"/>
      <c r="H88" s="134" t="s">
        <v>142</v>
      </c>
      <c r="I88" s="88"/>
    </row>
    <row r="89" spans="1:9">
      <c r="A89" s="115">
        <v>88</v>
      </c>
      <c r="B89" s="139">
        <v>46084</v>
      </c>
      <c r="C89" s="183" t="s">
        <v>865</v>
      </c>
      <c r="D89" s="143"/>
      <c r="E89" s="173" t="s">
        <v>131</v>
      </c>
      <c r="F89" s="115" t="s">
        <v>123</v>
      </c>
      <c r="G89" s="110"/>
      <c r="H89" s="134" t="s">
        <v>142</v>
      </c>
      <c r="I89" s="118" t="s">
        <v>866</v>
      </c>
    </row>
    <row r="90" spans="1:9">
      <c r="A90" s="115">
        <v>89</v>
      </c>
      <c r="B90" s="139">
        <v>46084</v>
      </c>
      <c r="C90" s="183" t="s">
        <v>867</v>
      </c>
      <c r="D90" s="144"/>
      <c r="E90" s="173" t="s">
        <v>131</v>
      </c>
      <c r="F90" s="115" t="s">
        <v>125</v>
      </c>
      <c r="G90" s="114"/>
      <c r="H90" s="134" t="s">
        <v>142</v>
      </c>
      <c r="I90" s="113"/>
    </row>
    <row r="91" spans="1:9" ht="15">
      <c r="A91" s="115">
        <v>90</v>
      </c>
      <c r="B91" s="139">
        <v>46084</v>
      </c>
      <c r="C91" s="182" t="s">
        <v>868</v>
      </c>
      <c r="D91" s="143"/>
      <c r="E91" s="173" t="s">
        <v>131</v>
      </c>
      <c r="F91" s="115" t="s">
        <v>123</v>
      </c>
      <c r="G91" s="110"/>
      <c r="H91" s="134" t="s">
        <v>142</v>
      </c>
      <c r="I91" s="118" t="s">
        <v>869</v>
      </c>
    </row>
    <row r="92" spans="1:9">
      <c r="A92" s="115">
        <v>91</v>
      </c>
      <c r="B92" s="139">
        <v>46084</v>
      </c>
      <c r="C92" s="182" t="s">
        <v>870</v>
      </c>
      <c r="D92" s="143"/>
      <c r="E92" s="173" t="s">
        <v>131</v>
      </c>
      <c r="F92" s="115" t="s">
        <v>125</v>
      </c>
      <c r="G92" s="110"/>
      <c r="H92" s="134" t="s">
        <v>142</v>
      </c>
      <c r="I92" s="88"/>
    </row>
    <row r="93" spans="1:9" ht="15">
      <c r="A93" s="115">
        <v>92</v>
      </c>
      <c r="B93" s="139">
        <v>46084</v>
      </c>
      <c r="C93" s="182" t="s">
        <v>871</v>
      </c>
      <c r="D93" s="143"/>
      <c r="E93" s="173" t="s">
        <v>131</v>
      </c>
      <c r="F93" s="115" t="s">
        <v>123</v>
      </c>
      <c r="G93" s="110"/>
      <c r="H93" s="134" t="s">
        <v>142</v>
      </c>
      <c r="I93" s="118" t="s">
        <v>872</v>
      </c>
    </row>
    <row r="94" spans="1:9">
      <c r="A94" s="115">
        <v>93</v>
      </c>
      <c r="B94" s="139">
        <v>46084</v>
      </c>
      <c r="C94" s="182" t="s">
        <v>873</v>
      </c>
      <c r="D94" s="143"/>
      <c r="E94" s="173" t="s">
        <v>131</v>
      </c>
      <c r="F94" s="115" t="s">
        <v>125</v>
      </c>
      <c r="G94" s="110"/>
      <c r="H94" s="134" t="s">
        <v>142</v>
      </c>
      <c r="I94" s="88"/>
    </row>
    <row r="95" spans="1:9">
      <c r="A95" s="115">
        <v>94</v>
      </c>
      <c r="B95" s="139">
        <v>46084</v>
      </c>
      <c r="C95" s="182" t="s">
        <v>874</v>
      </c>
      <c r="D95" s="143"/>
      <c r="E95" s="173" t="s">
        <v>131</v>
      </c>
      <c r="F95" s="115" t="s">
        <v>125</v>
      </c>
      <c r="G95" s="110"/>
      <c r="H95" s="134" t="s">
        <v>142</v>
      </c>
      <c r="I95" s="88"/>
    </row>
    <row r="96" spans="1:9">
      <c r="A96" s="115">
        <v>95</v>
      </c>
      <c r="B96" s="139">
        <v>46084</v>
      </c>
      <c r="C96" s="182" t="s">
        <v>875</v>
      </c>
      <c r="D96" s="143"/>
      <c r="E96" s="173" t="s">
        <v>131</v>
      </c>
      <c r="F96" s="115" t="s">
        <v>125</v>
      </c>
      <c r="G96" s="110"/>
      <c r="H96" s="134" t="s">
        <v>142</v>
      </c>
      <c r="I96" s="88"/>
    </row>
    <row r="97" spans="1:9">
      <c r="A97" s="115">
        <v>96</v>
      </c>
      <c r="B97" s="139">
        <v>46084</v>
      </c>
      <c r="C97" s="182" t="s">
        <v>876</v>
      </c>
      <c r="D97" s="143"/>
      <c r="E97" s="173" t="s">
        <v>131</v>
      </c>
      <c r="F97" s="115" t="s">
        <v>125</v>
      </c>
      <c r="G97" s="110"/>
      <c r="H97" s="134" t="s">
        <v>142</v>
      </c>
      <c r="I97" s="88"/>
    </row>
    <row r="98" spans="1:9">
      <c r="A98" s="115">
        <v>97</v>
      </c>
      <c r="B98" s="139">
        <v>46084</v>
      </c>
      <c r="C98" s="182" t="s">
        <v>877</v>
      </c>
      <c r="D98" s="143"/>
      <c r="E98" s="173" t="s">
        <v>131</v>
      </c>
      <c r="F98" s="115" t="s">
        <v>125</v>
      </c>
      <c r="G98" s="110"/>
      <c r="H98" s="134" t="s">
        <v>142</v>
      </c>
      <c r="I98" s="88"/>
    </row>
    <row r="99" spans="1:9">
      <c r="A99" s="115">
        <v>98</v>
      </c>
      <c r="B99" s="139">
        <v>46084</v>
      </c>
      <c r="C99" s="182" t="s">
        <v>878</v>
      </c>
      <c r="D99" s="143"/>
      <c r="E99" s="173" t="s">
        <v>131</v>
      </c>
      <c r="F99" s="115" t="s">
        <v>125</v>
      </c>
      <c r="G99" s="110"/>
      <c r="H99" s="134" t="s">
        <v>142</v>
      </c>
      <c r="I99" s="88"/>
    </row>
    <row r="100" spans="1:9">
      <c r="A100" s="115">
        <v>99</v>
      </c>
      <c r="B100" s="139">
        <v>46084</v>
      </c>
      <c r="C100" s="182" t="s">
        <v>879</v>
      </c>
      <c r="D100" s="143"/>
      <c r="E100" s="173" t="s">
        <v>131</v>
      </c>
      <c r="F100" s="115" t="s">
        <v>125</v>
      </c>
      <c r="G100" s="110"/>
      <c r="H100" s="134" t="s">
        <v>142</v>
      </c>
      <c r="I100" s="88"/>
    </row>
    <row r="101" spans="1:9">
      <c r="A101" s="115">
        <v>100</v>
      </c>
      <c r="B101" s="139">
        <v>46084</v>
      </c>
      <c r="C101" s="182" t="s">
        <v>880</v>
      </c>
      <c r="D101" s="143"/>
      <c r="E101" s="173" t="s">
        <v>131</v>
      </c>
      <c r="F101" s="115" t="s">
        <v>125</v>
      </c>
      <c r="G101" s="110"/>
      <c r="H101" s="134" t="s">
        <v>142</v>
      </c>
      <c r="I101" s="88"/>
    </row>
    <row r="102" spans="1:9">
      <c r="A102" s="115">
        <v>101</v>
      </c>
      <c r="B102" s="139">
        <v>46084</v>
      </c>
      <c r="C102" s="182" t="s">
        <v>881</v>
      </c>
      <c r="D102" s="143"/>
      <c r="E102" s="173" t="s">
        <v>130</v>
      </c>
      <c r="F102" s="115" t="s">
        <v>125</v>
      </c>
      <c r="G102" s="110"/>
      <c r="H102" s="134" t="s">
        <v>142</v>
      </c>
      <c r="I102" s="88"/>
    </row>
    <row r="103" spans="1:9">
      <c r="A103" s="115">
        <v>102</v>
      </c>
      <c r="B103" s="139"/>
      <c r="C103" s="131"/>
      <c r="D103" s="143"/>
      <c r="E103" s="173"/>
      <c r="F103" s="115"/>
      <c r="G103" s="110"/>
      <c r="H103" s="134"/>
      <c r="I103" s="88"/>
    </row>
    <row r="104" spans="1:9">
      <c r="A104" s="115">
        <v>103</v>
      </c>
      <c r="B104" s="139"/>
      <c r="C104" s="131"/>
      <c r="D104" s="143"/>
      <c r="E104" s="173"/>
      <c r="F104" s="115"/>
      <c r="G104" s="110"/>
      <c r="H104" s="134"/>
      <c r="I104" s="88"/>
    </row>
    <row r="105" spans="1:9">
      <c r="A105" s="115">
        <v>104</v>
      </c>
      <c r="B105" s="139"/>
      <c r="C105" s="131"/>
      <c r="D105" s="143"/>
      <c r="E105" s="173"/>
      <c r="F105" s="115"/>
      <c r="G105" s="110"/>
      <c r="H105" s="134"/>
      <c r="I105" s="88"/>
    </row>
    <row r="106" spans="1:9">
      <c r="A106" s="115">
        <v>105</v>
      </c>
      <c r="B106" s="139"/>
      <c r="C106" s="131"/>
      <c r="D106" s="143"/>
      <c r="E106" s="173"/>
      <c r="F106" s="115"/>
      <c r="G106" s="110"/>
      <c r="H106" s="134"/>
      <c r="I106" s="88"/>
    </row>
    <row r="107" spans="1:9">
      <c r="A107" s="115">
        <v>106</v>
      </c>
      <c r="B107" s="139"/>
      <c r="C107" s="131"/>
      <c r="D107" s="143"/>
      <c r="E107" s="173"/>
      <c r="F107" s="115"/>
      <c r="G107" s="110"/>
      <c r="H107" s="134"/>
      <c r="I107" s="88"/>
    </row>
    <row r="108" spans="1:9">
      <c r="A108" s="115">
        <v>107</v>
      </c>
      <c r="B108" s="139"/>
      <c r="C108" s="131"/>
      <c r="D108" s="143"/>
      <c r="E108" s="173"/>
      <c r="F108" s="115"/>
      <c r="G108" s="110"/>
      <c r="H108" s="134"/>
      <c r="I108" s="88"/>
    </row>
    <row r="109" spans="1:9">
      <c r="A109" s="115">
        <v>108</v>
      </c>
      <c r="B109" s="139"/>
      <c r="C109" s="131"/>
      <c r="D109" s="143"/>
      <c r="E109" s="173"/>
      <c r="F109" s="115"/>
      <c r="G109" s="110"/>
      <c r="H109" s="134"/>
      <c r="I109" s="88"/>
    </row>
    <row r="110" spans="1:9">
      <c r="A110" s="115">
        <v>109</v>
      </c>
      <c r="B110" s="139"/>
      <c r="C110" s="131"/>
      <c r="D110" s="143"/>
      <c r="E110" s="173"/>
      <c r="F110" s="115"/>
      <c r="G110" s="110"/>
      <c r="H110" s="134"/>
      <c r="I110" s="88"/>
    </row>
    <row r="111" spans="1:9">
      <c r="A111" s="115">
        <v>110</v>
      </c>
      <c r="B111" s="139"/>
      <c r="C111" s="131"/>
      <c r="D111" s="143"/>
      <c r="E111" s="173"/>
      <c r="F111" s="115"/>
      <c r="G111" s="110"/>
      <c r="H111" s="134"/>
      <c r="I111" s="88"/>
    </row>
    <row r="112" spans="1:9">
      <c r="A112" s="115">
        <v>111</v>
      </c>
      <c r="B112" s="139"/>
      <c r="C112" s="131"/>
      <c r="D112" s="143"/>
      <c r="E112" s="173"/>
      <c r="F112" s="115"/>
      <c r="G112" s="110"/>
      <c r="H112" s="134"/>
      <c r="I112" s="88"/>
    </row>
    <row r="113" spans="1:9">
      <c r="A113" s="115">
        <v>112</v>
      </c>
      <c r="B113" s="139"/>
      <c r="C113" s="131"/>
      <c r="D113" s="143"/>
      <c r="E113" s="173"/>
      <c r="F113" s="115"/>
      <c r="G113" s="110"/>
      <c r="H113" s="134"/>
      <c r="I113" s="88"/>
    </row>
    <row r="114" spans="1:9">
      <c r="A114" s="115">
        <v>113</v>
      </c>
      <c r="B114" s="139"/>
      <c r="C114" s="131"/>
      <c r="D114" s="143"/>
      <c r="E114" s="173"/>
      <c r="F114" s="115"/>
      <c r="G114" s="110"/>
      <c r="H114" s="134"/>
      <c r="I114" s="88"/>
    </row>
    <row r="115" spans="1:9" hidden="1">
      <c r="A115" s="115"/>
      <c r="G115" s="110"/>
      <c r="H115" s="134"/>
      <c r="I115" s="88"/>
    </row>
    <row r="116" spans="1:9" hidden="1">
      <c r="A116" s="115"/>
      <c r="B116" s="139"/>
      <c r="C116" s="131"/>
      <c r="D116" s="143"/>
      <c r="E116" s="173"/>
      <c r="F116" s="115"/>
      <c r="G116" s="110"/>
      <c r="H116" s="134"/>
      <c r="I116" s="88"/>
    </row>
    <row r="117" spans="1:9" hidden="1">
      <c r="A117" s="115"/>
      <c r="B117" s="139"/>
      <c r="C117" s="131"/>
      <c r="D117" s="143"/>
      <c r="E117" s="173"/>
      <c r="F117" s="115"/>
      <c r="G117" s="110"/>
      <c r="H117" s="134"/>
      <c r="I117" s="88"/>
    </row>
    <row r="118" spans="1:9" ht="15">
      <c r="C118" s="133" t="s">
        <v>882</v>
      </c>
      <c r="E118" s="173" t="s">
        <v>131</v>
      </c>
      <c r="F118" s="115" t="s">
        <v>123</v>
      </c>
      <c r="H118" s="134" t="s">
        <v>142</v>
      </c>
      <c r="I118" s="45" t="s">
        <v>883</v>
      </c>
    </row>
    <row r="119" spans="1:9" ht="15">
      <c r="C119" s="133" t="s">
        <v>884</v>
      </c>
      <c r="E119" s="173" t="s">
        <v>131</v>
      </c>
      <c r="F119" s="115" t="s">
        <v>123</v>
      </c>
      <c r="H119" s="134" t="s">
        <v>142</v>
      </c>
      <c r="I119" s="45" t="s">
        <v>885</v>
      </c>
    </row>
    <row r="129" spans="7:7" ht="15">
      <c r="G129" s="85"/>
    </row>
  </sheetData>
  <conditionalFormatting sqref="F1:G114 G115 F116:G1048576">
    <cfRule type="cellIs" dxfId="63" priority="27" operator="equal">
      <formula>"Sent to Mobileum Review"</formula>
    </cfRule>
    <cfRule type="cellIs" dxfId="62" priority="28" operator="equal">
      <formula>"Testing"</formula>
    </cfRule>
  </conditionalFormatting>
  <conditionalFormatting sqref="F2:G114 G115 F116:G1048576">
    <cfRule type="cellIs" dxfId="61" priority="25" operator="equal">
      <formula>"Pending Zenardy Review"</formula>
    </cfRule>
    <cfRule type="cellIs" dxfId="60" priority="26" operator="equal">
      <formula>"Confirmed by Mobileum"</formula>
    </cfRule>
    <cfRule type="cellIs" dxfId="59" priority="29" operator="equal">
      <formula>"Enhancement"</formula>
    </cfRule>
    <cfRule type="cellIs" dxfId="58" priority="30" operator="equal">
      <formula>"In Progress"</formula>
    </cfRule>
    <cfRule type="cellIs" dxfId="57" priority="31" operator="equal">
      <formula>"Completed"</formula>
    </cfRule>
    <cfRule type="cellIs" dxfId="56" priority="32" operator="equal">
      <formula>"Not Started"</formula>
    </cfRule>
  </conditionalFormatting>
  <dataValidations count="1">
    <dataValidation type="list" allowBlank="1" showInputMessage="1" showErrorMessage="1" sqref="F2:G114 G115 F116:G1048576" xr:uid="{9F01D8EC-063F-4214-9B38-D0C738582C5D}">
      <formula1>"Not Started, In Progress, Completed, Enhancement, Sent to Mobileum Review, Confirmed by Mobileum, Pending Zenardy Review, Testing"</formula1>
    </dataValidation>
  </dataValidations>
  <hyperlinks>
    <hyperlink ref="I4" r:id="rId1" xr:uid="{55B02595-B743-4DA0-B024-CC3F1FA248E9}"/>
    <hyperlink ref="I16" r:id="rId2" xr:uid="{E6146340-32FD-47DB-83F6-26CCECAA54E7}"/>
    <hyperlink ref="I21" r:id="rId3" xr:uid="{E447CB47-0BE1-48A3-AE6A-FB7DADB10C07}"/>
    <hyperlink ref="C86" r:id="rId4" xr:uid="{DACD2979-DA7D-4D8D-AA99-295EC16EA4E7}"/>
    <hyperlink ref="C87" r:id="rId5" xr:uid="{B2DED029-83BD-4C37-B560-ADE9FC94E114}"/>
    <hyperlink ref="C88" r:id="rId6" xr:uid="{1766DE4A-7E33-487E-88D4-373E051CC960}"/>
    <hyperlink ref="C47" r:id="rId7" xr:uid="{C5D4C008-CE8C-45B5-A25B-4C14D5320A56}"/>
    <hyperlink ref="C89" r:id="rId8" xr:uid="{76D077FF-D801-4D4F-B357-10777AFFAE0A}"/>
    <hyperlink ref="C90" r:id="rId9" xr:uid="{8CBEF666-C403-493B-B6E4-278C54140AF2}"/>
    <hyperlink ref="C91" r:id="rId10" xr:uid="{77058A83-0581-4448-96CB-575D2FD848BD}"/>
    <hyperlink ref="C92" r:id="rId11" xr:uid="{5CFF76C1-6A75-48A2-9570-20BE650BD1AE}"/>
    <hyperlink ref="C84" r:id="rId12" xr:uid="{E273FE18-953B-4CCB-837C-B92CC7C1A0FB}"/>
    <hyperlink ref="C93" r:id="rId13" xr:uid="{055E32EF-3194-4AAA-8322-09D8047AB44A}"/>
    <hyperlink ref="C94" r:id="rId14" xr:uid="{A4C441B8-C413-4E3B-81DC-72CF8ACA7168}"/>
    <hyperlink ref="C95" r:id="rId15" xr:uid="{A2FD6822-CEA3-417F-B09E-DEAF462267B4}"/>
    <hyperlink ref="C96" r:id="rId16" xr:uid="{2EA1C1A0-DB72-459C-8EE0-CC721AD09549}"/>
    <hyperlink ref="C97" r:id="rId17" xr:uid="{447CBD18-0DE8-4801-BA6A-2C02F9B29BC6}"/>
    <hyperlink ref="C98" r:id="rId18" xr:uid="{14CAE849-7165-42AD-8F47-3B220EBCA904}"/>
    <hyperlink ref="C99" r:id="rId19" xr:uid="{E849E946-88C2-4A87-BB21-C7407F08DBE6}"/>
    <hyperlink ref="C100" r:id="rId20" xr:uid="{0AD7CA2A-CC48-4E97-A078-6AEA49E203CD}"/>
    <hyperlink ref="C101" r:id="rId21" display="80 Sigos GmbH_ JE_Inventory valuation_31st dec'25" xr:uid="{DEAA261D-1F1D-47B7-BBA6-0F629C2B5E5C}"/>
    <hyperlink ref="C102" r:id="rId22" xr:uid="{3FC5A6F3-BE60-4E0D-96B0-3F4B7FDEB66E}"/>
    <hyperlink ref="I86" r:id="rId23" xr:uid="{C75E7B92-E715-428D-BF93-6BBFB826139D}"/>
    <hyperlink ref="I83" r:id="rId24" xr:uid="{1478DC0C-A9D8-46CC-8C9D-8AB5EDC783A7}"/>
    <hyperlink ref="I89" r:id="rId25" xr:uid="{D9C61529-6656-4B07-8966-D9CEE3F870ED}"/>
    <hyperlink ref="I118" r:id="rId26" xr:uid="{BAF162BD-16A5-4FD3-AD77-473306E3FBC2}"/>
    <hyperlink ref="I119" r:id="rId27" xr:uid="{031145BB-8F8D-4E4F-9297-8CD26E959819}"/>
    <hyperlink ref="I91" r:id="rId28" xr:uid="{E59E3E0A-7585-4DBD-9049-7F7F61D7ED1B}"/>
    <hyperlink ref="I93" r:id="rId29" xr:uid="{212F79D1-0E51-45AC-B595-2215B026EE3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9F12-7504-432A-BD05-98A50A81FBC2}">
  <sheetPr>
    <tabColor rgb="FF00B050"/>
  </sheetPr>
  <dimension ref="A1:E119"/>
  <sheetViews>
    <sheetView workbookViewId="0">
      <selection activeCell="A5" sqref="A5:A6"/>
    </sheetView>
  </sheetViews>
  <sheetFormatPr defaultColWidth="21.140625" defaultRowHeight="15"/>
  <cols>
    <col min="1" max="3" width="21.140625" style="85"/>
    <col min="4" max="4" width="79.42578125" style="85" customWidth="1"/>
    <col min="5" max="5" width="29.140625" style="85" bestFit="1" customWidth="1"/>
  </cols>
  <sheetData>
    <row r="1" spans="1:5" s="85" customFormat="1">
      <c r="A1" s="184" t="s">
        <v>886</v>
      </c>
      <c r="B1" s="185" t="s">
        <v>887</v>
      </c>
      <c r="C1" s="185" t="s">
        <v>888</v>
      </c>
      <c r="D1" s="185" t="s">
        <v>889</v>
      </c>
      <c r="E1" s="185" t="s">
        <v>890</v>
      </c>
    </row>
    <row r="2" spans="1:5" ht="60.75">
      <c r="A2" s="280">
        <v>1</v>
      </c>
      <c r="B2" s="280" t="s">
        <v>891</v>
      </c>
      <c r="C2" s="186" t="s">
        <v>892</v>
      </c>
      <c r="D2" s="187" t="s">
        <v>893</v>
      </c>
      <c r="E2" s="280" t="s">
        <v>894</v>
      </c>
    </row>
    <row r="3" spans="1:5">
      <c r="A3" s="280"/>
      <c r="B3" s="280"/>
      <c r="C3" s="186" t="s">
        <v>895</v>
      </c>
      <c r="D3" s="186" t="s">
        <v>896</v>
      </c>
      <c r="E3" s="280"/>
    </row>
    <row r="4" spans="1:5">
      <c r="A4" s="281"/>
      <c r="B4" s="281"/>
      <c r="C4" s="186" t="s">
        <v>897</v>
      </c>
      <c r="D4" s="186" t="s">
        <v>896</v>
      </c>
      <c r="E4" s="281"/>
    </row>
    <row r="5" spans="1:5">
      <c r="A5" s="280">
        <v>2</v>
      </c>
      <c r="B5" s="280" t="s">
        <v>898</v>
      </c>
      <c r="C5" s="186" t="s">
        <v>895</v>
      </c>
      <c r="D5" s="186" t="s">
        <v>896</v>
      </c>
      <c r="E5" s="280" t="s">
        <v>899</v>
      </c>
    </row>
    <row r="6" spans="1:5">
      <c r="A6" s="281"/>
      <c r="B6" s="281"/>
      <c r="C6" s="186" t="s">
        <v>897</v>
      </c>
      <c r="D6" s="186" t="s">
        <v>896</v>
      </c>
      <c r="E6" s="281"/>
    </row>
    <row r="7" spans="1:5">
      <c r="D7" s="142"/>
    </row>
    <row r="8" spans="1:5">
      <c r="D8" s="142"/>
    </row>
    <row r="9" spans="1:5">
      <c r="D9" s="142"/>
    </row>
    <row r="10" spans="1:5">
      <c r="D10" s="142"/>
    </row>
    <row r="11" spans="1:5">
      <c r="D11" s="142"/>
    </row>
    <row r="12" spans="1:5">
      <c r="D12" s="142"/>
    </row>
    <row r="13" spans="1:5">
      <c r="D13" s="142"/>
    </row>
    <row r="14" spans="1:5">
      <c r="D14" s="142"/>
    </row>
    <row r="15" spans="1:5">
      <c r="D15" s="142"/>
    </row>
    <row r="16" spans="1:5">
      <c r="D16" s="142"/>
    </row>
    <row r="17" spans="4:4">
      <c r="D17" s="142"/>
    </row>
    <row r="18" spans="4:4">
      <c r="D18" s="142"/>
    </row>
    <row r="19" spans="4:4">
      <c r="D19" s="142"/>
    </row>
    <row r="20" spans="4:4">
      <c r="D20" s="142"/>
    </row>
    <row r="21" spans="4:4">
      <c r="D21" s="142"/>
    </row>
    <row r="22" spans="4:4">
      <c r="D22" s="142"/>
    </row>
    <row r="23" spans="4:4">
      <c r="D23" s="142"/>
    </row>
    <row r="24" spans="4:4">
      <c r="D24" s="142"/>
    </row>
    <row r="25" spans="4:4">
      <c r="D25" s="142"/>
    </row>
    <row r="26" spans="4:4">
      <c r="D26" s="142"/>
    </row>
    <row r="27" spans="4:4">
      <c r="D27" s="142"/>
    </row>
    <row r="28" spans="4:4">
      <c r="D28" s="142"/>
    </row>
    <row r="29" spans="4:4">
      <c r="D29" s="142"/>
    </row>
    <row r="30" spans="4:4">
      <c r="D30" s="142"/>
    </row>
    <row r="31" spans="4:4">
      <c r="D31" s="142"/>
    </row>
    <row r="32" spans="4:4">
      <c r="D32" s="142"/>
    </row>
    <row r="33" spans="4:4">
      <c r="D33" s="142"/>
    </row>
    <row r="34" spans="4:4">
      <c r="D34" s="142"/>
    </row>
    <row r="35" spans="4:4">
      <c r="D35" s="142"/>
    </row>
    <row r="36" spans="4:4">
      <c r="D36" s="142"/>
    </row>
    <row r="37" spans="4:4">
      <c r="D37" s="142"/>
    </row>
    <row r="38" spans="4:4">
      <c r="D38" s="142"/>
    </row>
    <row r="39" spans="4:4">
      <c r="D39" s="142"/>
    </row>
    <row r="40" spans="4:4">
      <c r="D40" s="142"/>
    </row>
    <row r="41" spans="4:4">
      <c r="D41" s="142"/>
    </row>
    <row r="42" spans="4:4">
      <c r="D42" s="142"/>
    </row>
    <row r="43" spans="4:4">
      <c r="D43" s="142"/>
    </row>
    <row r="44" spans="4:4">
      <c r="D44" s="142"/>
    </row>
    <row r="45" spans="4:4">
      <c r="D45" s="142"/>
    </row>
    <row r="46" spans="4:4">
      <c r="D46" s="142"/>
    </row>
    <row r="47" spans="4:4">
      <c r="D47" s="142"/>
    </row>
    <row r="48" spans="4:4">
      <c r="D48" s="142"/>
    </row>
    <row r="49" spans="4:4">
      <c r="D49" s="142"/>
    </row>
    <row r="50" spans="4:4">
      <c r="D50" s="142"/>
    </row>
    <row r="51" spans="4:4">
      <c r="D51" s="142"/>
    </row>
    <row r="52" spans="4:4">
      <c r="D52" s="142"/>
    </row>
    <row r="53" spans="4:4">
      <c r="D53" s="142"/>
    </row>
    <row r="54" spans="4:4">
      <c r="D54" s="142"/>
    </row>
    <row r="55" spans="4:4">
      <c r="D55" s="142"/>
    </row>
    <row r="56" spans="4:4">
      <c r="D56" s="142"/>
    </row>
    <row r="57" spans="4:4">
      <c r="D57" s="142"/>
    </row>
    <row r="58" spans="4:4">
      <c r="D58" s="142"/>
    </row>
    <row r="59" spans="4:4">
      <c r="D59" s="142"/>
    </row>
    <row r="60" spans="4:4">
      <c r="D60" s="142"/>
    </row>
    <row r="61" spans="4:4">
      <c r="D61" s="142"/>
    </row>
    <row r="62" spans="4:4">
      <c r="D62" s="142"/>
    </row>
    <row r="63" spans="4:4">
      <c r="D63" s="142"/>
    </row>
    <row r="64" spans="4:4">
      <c r="D64" s="142"/>
    </row>
    <row r="65" spans="4:4">
      <c r="D65" s="142"/>
    </row>
    <row r="66" spans="4:4">
      <c r="D66" s="142"/>
    </row>
    <row r="67" spans="4:4">
      <c r="D67" s="142"/>
    </row>
    <row r="68" spans="4:4">
      <c r="D68" s="142"/>
    </row>
    <row r="69" spans="4:4">
      <c r="D69" s="142"/>
    </row>
    <row r="70" spans="4:4">
      <c r="D70" s="142"/>
    </row>
    <row r="71" spans="4:4">
      <c r="D71" s="142"/>
    </row>
    <row r="72" spans="4:4">
      <c r="D72" s="142"/>
    </row>
    <row r="73" spans="4:4">
      <c r="D73" s="142"/>
    </row>
    <row r="74" spans="4:4">
      <c r="D74" s="142"/>
    </row>
    <row r="75" spans="4:4">
      <c r="D75" s="142"/>
    </row>
    <row r="76" spans="4:4">
      <c r="D76" s="142"/>
    </row>
    <row r="77" spans="4:4">
      <c r="D77" s="142"/>
    </row>
    <row r="78" spans="4:4">
      <c r="D78" s="142"/>
    </row>
    <row r="79" spans="4:4">
      <c r="D79" s="142"/>
    </row>
    <row r="80" spans="4:4">
      <c r="D80" s="142"/>
    </row>
    <row r="81" spans="4:4">
      <c r="D81" s="142"/>
    </row>
    <row r="82" spans="4:4">
      <c r="D82" s="142"/>
    </row>
    <row r="83" spans="4:4">
      <c r="D83" s="142"/>
    </row>
    <row r="84" spans="4:4">
      <c r="D84" s="142"/>
    </row>
    <row r="85" spans="4:4">
      <c r="D85" s="142"/>
    </row>
    <row r="86" spans="4:4">
      <c r="D86" s="142"/>
    </row>
    <row r="87" spans="4:4">
      <c r="D87" s="142"/>
    </row>
    <row r="88" spans="4:4">
      <c r="D88" s="142"/>
    </row>
    <row r="89" spans="4:4">
      <c r="D89" s="142"/>
    </row>
    <row r="90" spans="4:4">
      <c r="D90" s="142"/>
    </row>
    <row r="91" spans="4:4">
      <c r="D91" s="142"/>
    </row>
    <row r="92" spans="4:4">
      <c r="D92" s="142"/>
    </row>
    <row r="93" spans="4:4">
      <c r="D93" s="142"/>
    </row>
    <row r="94" spans="4:4">
      <c r="D94" s="142"/>
    </row>
    <row r="95" spans="4:4">
      <c r="D95" s="142"/>
    </row>
    <row r="96" spans="4:4">
      <c r="D96" s="142"/>
    </row>
    <row r="97" spans="4:4">
      <c r="D97" s="142"/>
    </row>
    <row r="98" spans="4:4">
      <c r="D98" s="142"/>
    </row>
    <row r="99" spans="4:4">
      <c r="D99" s="142"/>
    </row>
    <row r="100" spans="4:4">
      <c r="D100" s="142"/>
    </row>
    <row r="101" spans="4:4">
      <c r="D101" s="142"/>
    </row>
    <row r="102" spans="4:4">
      <c r="D102" s="142"/>
    </row>
    <row r="103" spans="4:4">
      <c r="D103" s="142"/>
    </row>
    <row r="104" spans="4:4">
      <c r="D104" s="142"/>
    </row>
    <row r="105" spans="4:4">
      <c r="D105" s="142"/>
    </row>
    <row r="106" spans="4:4">
      <c r="D106" s="142"/>
    </row>
    <row r="107" spans="4:4">
      <c r="D107" s="142"/>
    </row>
    <row r="108" spans="4:4">
      <c r="D108" s="142"/>
    </row>
    <row r="109" spans="4:4">
      <c r="D109" s="142"/>
    </row>
    <row r="110" spans="4:4">
      <c r="D110" s="142"/>
    </row>
    <row r="111" spans="4:4">
      <c r="D111" s="142"/>
    </row>
    <row r="112" spans="4:4">
      <c r="D112" s="142"/>
    </row>
    <row r="113" spans="4:4">
      <c r="D113" s="142"/>
    </row>
    <row r="114" spans="4:4">
      <c r="D114" s="142"/>
    </row>
    <row r="115" spans="4:4">
      <c r="D115" s="142"/>
    </row>
    <row r="116" spans="4:4">
      <c r="D116" s="142"/>
    </row>
    <row r="117" spans="4:4">
      <c r="D117" s="142"/>
    </row>
    <row r="118" spans="4:4">
      <c r="D118" s="142"/>
    </row>
    <row r="119" spans="4:4">
      <c r="D119" s="142"/>
    </row>
  </sheetData>
  <mergeCells count="6">
    <mergeCell ref="A2:A4"/>
    <mergeCell ref="B2:B4"/>
    <mergeCell ref="E2:E4"/>
    <mergeCell ref="A5:A6"/>
    <mergeCell ref="B5:B6"/>
    <mergeCell ref="E5: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F54E-AA92-4E8B-8803-C7DD4540E8F2}">
  <dimension ref="A1:E61"/>
  <sheetViews>
    <sheetView topLeftCell="A53" workbookViewId="0">
      <selection activeCell="B64" sqref="B64"/>
    </sheetView>
  </sheetViews>
  <sheetFormatPr defaultRowHeight="14.45"/>
  <cols>
    <col min="1" max="1" width="48.140625" style="82" customWidth="1"/>
    <col min="2" max="2" width="57.5703125" customWidth="1"/>
    <col min="3" max="3" width="47" customWidth="1"/>
    <col min="4" max="4" width="12.5703125" customWidth="1"/>
    <col min="5" max="5" width="52.42578125" customWidth="1"/>
  </cols>
  <sheetData>
    <row r="1" spans="1:5" s="85" customFormat="1">
      <c r="A1" s="83" t="s">
        <v>900</v>
      </c>
      <c r="B1" s="84" t="s">
        <v>901</v>
      </c>
      <c r="C1" s="84" t="s">
        <v>7</v>
      </c>
      <c r="D1" s="84"/>
      <c r="E1" s="84" t="s">
        <v>902</v>
      </c>
    </row>
    <row r="2" spans="1:5" ht="15.95">
      <c r="A2" s="86" t="s">
        <v>903</v>
      </c>
      <c r="B2" s="282" t="s">
        <v>904</v>
      </c>
      <c r="C2" s="282" t="s">
        <v>905</v>
      </c>
      <c r="D2" s="286"/>
      <c r="E2" s="284" t="s">
        <v>906</v>
      </c>
    </row>
    <row r="3" spans="1:5" ht="15.95">
      <c r="A3" s="86" t="s">
        <v>907</v>
      </c>
      <c r="B3" s="282"/>
      <c r="C3" s="282"/>
      <c r="D3" s="287"/>
      <c r="E3" s="284"/>
    </row>
    <row r="4" spans="1:5" ht="15.95">
      <c r="A4" s="86" t="s">
        <v>908</v>
      </c>
      <c r="B4" s="282"/>
      <c r="C4" s="282"/>
      <c r="D4" s="287"/>
      <c r="E4" s="284"/>
    </row>
    <row r="5" spans="1:5" ht="15.95">
      <c r="A5" s="87" t="s">
        <v>909</v>
      </c>
      <c r="B5" s="283"/>
      <c r="C5" s="283"/>
      <c r="D5" s="288"/>
      <c r="E5" s="285"/>
    </row>
    <row r="6" spans="1:5" ht="15.95">
      <c r="A6" s="86" t="s">
        <v>903</v>
      </c>
      <c r="B6" s="282" t="s">
        <v>910</v>
      </c>
      <c r="C6" s="282" t="s">
        <v>911</v>
      </c>
      <c r="D6" s="108"/>
      <c r="E6" s="284" t="s">
        <v>912</v>
      </c>
    </row>
    <row r="7" spans="1:5" ht="15.95">
      <c r="A7" s="86" t="s">
        <v>907</v>
      </c>
      <c r="B7" s="282"/>
      <c r="C7" s="282"/>
      <c r="D7" s="108"/>
      <c r="E7" s="284"/>
    </row>
    <row r="8" spans="1:5" ht="15.95">
      <c r="A8" s="86" t="s">
        <v>908</v>
      </c>
      <c r="B8" s="282"/>
      <c r="C8" s="282"/>
      <c r="D8" s="108"/>
      <c r="E8" s="284"/>
    </row>
    <row r="9" spans="1:5" ht="15.95">
      <c r="A9" s="87" t="s">
        <v>913</v>
      </c>
      <c r="B9" s="283"/>
      <c r="C9" s="283"/>
      <c r="D9" s="109"/>
      <c r="E9" s="285"/>
    </row>
    <row r="10" spans="1:5" ht="15.95">
      <c r="A10" s="86" t="s">
        <v>903</v>
      </c>
      <c r="B10" s="282" t="s">
        <v>914</v>
      </c>
      <c r="C10" s="282" t="s">
        <v>915</v>
      </c>
      <c r="D10" s="108"/>
      <c r="E10" s="284" t="s">
        <v>916</v>
      </c>
    </row>
    <row r="11" spans="1:5" ht="15.95">
      <c r="A11" s="86" t="s">
        <v>917</v>
      </c>
      <c r="B11" s="282"/>
      <c r="C11" s="282"/>
      <c r="D11" s="108"/>
      <c r="E11" s="284"/>
    </row>
    <row r="12" spans="1:5" ht="15.95">
      <c r="A12" s="86" t="s">
        <v>908</v>
      </c>
      <c r="B12" s="282"/>
      <c r="C12" s="282"/>
      <c r="D12" s="108"/>
      <c r="E12" s="284"/>
    </row>
    <row r="13" spans="1:5" ht="15.95">
      <c r="A13" s="87" t="s">
        <v>909</v>
      </c>
      <c r="B13" s="283"/>
      <c r="C13" s="283"/>
      <c r="D13" s="109"/>
      <c r="E13" s="285"/>
    </row>
    <row r="14" spans="1:5" ht="15.95">
      <c r="A14" s="86" t="s">
        <v>903</v>
      </c>
      <c r="B14" s="282" t="s">
        <v>918</v>
      </c>
      <c r="C14" s="282" t="s">
        <v>919</v>
      </c>
      <c r="D14" s="108"/>
      <c r="E14" s="284" t="s">
        <v>920</v>
      </c>
    </row>
    <row r="15" spans="1:5" ht="15.95">
      <c r="A15" s="86" t="s">
        <v>917</v>
      </c>
      <c r="B15" s="282"/>
      <c r="C15" s="282"/>
      <c r="D15" s="108"/>
      <c r="E15" s="284"/>
    </row>
    <row r="16" spans="1:5" ht="15.95">
      <c r="A16" s="86" t="s">
        <v>908</v>
      </c>
      <c r="B16" s="282"/>
      <c r="C16" s="282"/>
      <c r="D16" s="108"/>
      <c r="E16" s="284"/>
    </row>
    <row r="17" spans="1:5" ht="15.95">
      <c r="A17" s="87" t="s">
        <v>913</v>
      </c>
      <c r="B17" s="283"/>
      <c r="C17" s="283"/>
      <c r="D17" s="109"/>
      <c r="E17" s="285"/>
    </row>
    <row r="18" spans="1:5" ht="15.95">
      <c r="A18" s="86" t="s">
        <v>903</v>
      </c>
      <c r="B18" s="282" t="s">
        <v>921</v>
      </c>
      <c r="C18" s="282" t="s">
        <v>922</v>
      </c>
      <c r="D18" s="108"/>
      <c r="E18" s="284" t="s">
        <v>923</v>
      </c>
    </row>
    <row r="19" spans="1:5" ht="15.95">
      <c r="A19" s="86" t="s">
        <v>907</v>
      </c>
      <c r="B19" s="282"/>
      <c r="C19" s="282"/>
      <c r="D19" s="108"/>
      <c r="E19" s="284"/>
    </row>
    <row r="20" spans="1:5" ht="15.95">
      <c r="A20" s="86" t="s">
        <v>924</v>
      </c>
      <c r="B20" s="282"/>
      <c r="C20" s="282"/>
      <c r="D20" s="108"/>
      <c r="E20" s="284"/>
    </row>
    <row r="21" spans="1:5" ht="15.95">
      <c r="A21" s="87" t="s">
        <v>925</v>
      </c>
      <c r="B21" s="283"/>
      <c r="C21" s="283"/>
      <c r="D21" s="109"/>
      <c r="E21" s="285"/>
    </row>
    <row r="22" spans="1:5" ht="15.95">
      <c r="A22" s="86" t="s">
        <v>903</v>
      </c>
      <c r="B22" s="282" t="s">
        <v>926</v>
      </c>
      <c r="C22" s="282"/>
      <c r="D22" s="108"/>
      <c r="E22" s="284" t="s">
        <v>927</v>
      </c>
    </row>
    <row r="23" spans="1:5" ht="15.95">
      <c r="A23" s="86" t="s">
        <v>907</v>
      </c>
      <c r="B23" s="282"/>
      <c r="C23" s="282"/>
      <c r="D23" s="108"/>
      <c r="E23" s="284"/>
    </row>
    <row r="24" spans="1:5" ht="15.95">
      <c r="A24" s="86" t="s">
        <v>924</v>
      </c>
      <c r="B24" s="282"/>
      <c r="C24" s="282"/>
      <c r="D24" s="108"/>
      <c r="E24" s="284"/>
    </row>
    <row r="25" spans="1:5" ht="15.95">
      <c r="A25" s="87" t="s">
        <v>928</v>
      </c>
      <c r="B25" s="283"/>
      <c r="C25" s="283"/>
      <c r="D25" s="109"/>
      <c r="E25" s="285"/>
    </row>
    <row r="26" spans="1:5" ht="15.95">
      <c r="A26" s="86" t="s">
        <v>903</v>
      </c>
      <c r="B26" s="282" t="s">
        <v>929</v>
      </c>
      <c r="C26" s="282"/>
      <c r="D26" s="108"/>
      <c r="E26" s="284" t="s">
        <v>930</v>
      </c>
    </row>
    <row r="27" spans="1:5" ht="15.95">
      <c r="A27" s="86" t="s">
        <v>907</v>
      </c>
      <c r="B27" s="282"/>
      <c r="C27" s="282"/>
      <c r="D27" s="108"/>
      <c r="E27" s="284"/>
    </row>
    <row r="28" spans="1:5" ht="15.95">
      <c r="A28" s="86" t="s">
        <v>931</v>
      </c>
      <c r="B28" s="282"/>
      <c r="C28" s="282"/>
      <c r="D28" s="108"/>
      <c r="E28" s="284"/>
    </row>
    <row r="29" spans="1:5" ht="15.95">
      <c r="A29" s="87" t="s">
        <v>928</v>
      </c>
      <c r="B29" s="283"/>
      <c r="C29" s="283"/>
      <c r="D29" s="109"/>
      <c r="E29" s="285"/>
    </row>
    <row r="30" spans="1:5" ht="15.95">
      <c r="A30" s="86" t="s">
        <v>903</v>
      </c>
      <c r="B30" s="282" t="s">
        <v>932</v>
      </c>
      <c r="C30" s="282"/>
      <c r="D30" s="108"/>
      <c r="E30" s="284" t="s">
        <v>933</v>
      </c>
    </row>
    <row r="31" spans="1:5" ht="15.95">
      <c r="A31" s="86" t="s">
        <v>907</v>
      </c>
      <c r="B31" s="282"/>
      <c r="C31" s="282"/>
      <c r="D31" s="108"/>
      <c r="E31" s="284"/>
    </row>
    <row r="32" spans="1:5" ht="32.1">
      <c r="A32" s="86" t="s">
        <v>934</v>
      </c>
      <c r="B32" s="282"/>
      <c r="C32" s="282"/>
      <c r="D32" s="108"/>
      <c r="E32" s="284"/>
    </row>
    <row r="33" spans="1:5" ht="15.95">
      <c r="A33" s="87" t="s">
        <v>925</v>
      </c>
      <c r="B33" s="283"/>
      <c r="C33" s="283"/>
      <c r="D33" s="109"/>
      <c r="E33" s="285"/>
    </row>
    <row r="34" spans="1:5" ht="15.95">
      <c r="A34" s="86" t="s">
        <v>935</v>
      </c>
      <c r="B34" s="282" t="s">
        <v>936</v>
      </c>
      <c r="C34" s="282"/>
      <c r="D34" s="108"/>
      <c r="E34" s="284" t="s">
        <v>937</v>
      </c>
    </row>
    <row r="35" spans="1:5" ht="15.95">
      <c r="A35" s="86" t="s">
        <v>938</v>
      </c>
      <c r="B35" s="282"/>
      <c r="C35" s="282"/>
      <c r="D35" s="108"/>
      <c r="E35" s="284"/>
    </row>
    <row r="36" spans="1:5" ht="15.95">
      <c r="A36" s="86" t="s">
        <v>939</v>
      </c>
      <c r="B36" s="282"/>
      <c r="C36" s="282"/>
      <c r="D36" s="108"/>
      <c r="E36" s="284"/>
    </row>
    <row r="37" spans="1:5" ht="15.95">
      <c r="A37" s="87" t="s">
        <v>928</v>
      </c>
      <c r="B37" s="283"/>
      <c r="C37" s="283"/>
      <c r="D37" s="109"/>
      <c r="E37" s="285"/>
    </row>
    <row r="38" spans="1:5" ht="15.95">
      <c r="A38" s="86" t="s">
        <v>935</v>
      </c>
      <c r="B38" s="282" t="s">
        <v>940</v>
      </c>
      <c r="C38" s="282"/>
      <c r="D38" s="108"/>
      <c r="E38" s="284" t="s">
        <v>941</v>
      </c>
    </row>
    <row r="39" spans="1:5" ht="15.95">
      <c r="A39" s="86" t="s">
        <v>938</v>
      </c>
      <c r="B39" s="282"/>
      <c r="C39" s="282"/>
      <c r="D39" s="108"/>
      <c r="E39" s="284"/>
    </row>
    <row r="40" spans="1:5" ht="15.95">
      <c r="A40" s="86" t="s">
        <v>939</v>
      </c>
      <c r="B40" s="282"/>
      <c r="C40" s="282"/>
      <c r="D40" s="108"/>
      <c r="E40" s="284"/>
    </row>
    <row r="41" spans="1:5" ht="15.95">
      <c r="A41" s="87" t="s">
        <v>925</v>
      </c>
      <c r="B41" s="283"/>
      <c r="C41" s="283"/>
      <c r="D41" s="109"/>
      <c r="E41" s="285"/>
    </row>
    <row r="42" spans="1:5" ht="15.95">
      <c r="A42" s="86" t="s">
        <v>935</v>
      </c>
      <c r="B42" s="282" t="s">
        <v>942</v>
      </c>
      <c r="C42" s="282" t="s">
        <v>943</v>
      </c>
      <c r="D42" s="108"/>
      <c r="E42" s="284" t="s">
        <v>944</v>
      </c>
    </row>
    <row r="43" spans="1:5" ht="15.95">
      <c r="A43" s="86" t="s">
        <v>938</v>
      </c>
      <c r="B43" s="282"/>
      <c r="C43" s="282"/>
      <c r="D43" s="108"/>
      <c r="E43" s="284"/>
    </row>
    <row r="44" spans="1:5" ht="32.1">
      <c r="A44" s="86" t="s">
        <v>945</v>
      </c>
      <c r="B44" s="282"/>
      <c r="C44" s="282"/>
      <c r="D44" s="108"/>
      <c r="E44" s="284"/>
    </row>
    <row r="45" spans="1:5" ht="15.95">
      <c r="A45" s="87" t="s">
        <v>928</v>
      </c>
      <c r="B45" s="283"/>
      <c r="C45" s="283"/>
      <c r="D45" s="109"/>
      <c r="E45" s="285"/>
    </row>
    <row r="46" spans="1:5" ht="15.95">
      <c r="A46" s="86" t="s">
        <v>935</v>
      </c>
      <c r="B46" s="282" t="s">
        <v>946</v>
      </c>
      <c r="C46" s="282"/>
      <c r="D46" s="108"/>
      <c r="E46" s="284" t="s">
        <v>947</v>
      </c>
    </row>
    <row r="47" spans="1:5" ht="15.95">
      <c r="A47" s="86" t="s">
        <v>938</v>
      </c>
      <c r="B47" s="282"/>
      <c r="C47" s="282"/>
      <c r="D47" s="108"/>
      <c r="E47" s="284"/>
    </row>
    <row r="48" spans="1:5" ht="32.1">
      <c r="A48" s="86" t="s">
        <v>945</v>
      </c>
      <c r="B48" s="282"/>
      <c r="C48" s="282"/>
      <c r="D48" s="108"/>
      <c r="E48" s="284"/>
    </row>
    <row r="49" spans="1:5" ht="15.95">
      <c r="A49" s="87" t="s">
        <v>925</v>
      </c>
      <c r="B49" s="283"/>
      <c r="C49" s="283"/>
      <c r="D49" s="109"/>
      <c r="E49" s="285"/>
    </row>
    <row r="51" spans="1:5" ht="48">
      <c r="A51" s="31" t="s">
        <v>251</v>
      </c>
      <c r="B51" s="25" t="s">
        <v>252</v>
      </c>
      <c r="C51" s="88" t="s">
        <v>23</v>
      </c>
      <c r="D51" s="88"/>
      <c r="E51" s="88" t="s">
        <v>948</v>
      </c>
    </row>
    <row r="52" spans="1:5" ht="48">
      <c r="A52" s="31" t="s">
        <v>255</v>
      </c>
      <c r="B52" s="25" t="s">
        <v>256</v>
      </c>
      <c r="C52" s="88" t="s">
        <v>949</v>
      </c>
      <c r="D52" s="88"/>
      <c r="E52" s="88" t="s">
        <v>950</v>
      </c>
    </row>
    <row r="53" spans="1:5" ht="48">
      <c r="A53" s="31" t="s">
        <v>259</v>
      </c>
      <c r="B53" s="25" t="s">
        <v>260</v>
      </c>
      <c r="C53" s="88" t="s">
        <v>23</v>
      </c>
      <c r="D53" s="88"/>
      <c r="E53" s="88" t="s">
        <v>951</v>
      </c>
    </row>
    <row r="54" spans="1:5" ht="48">
      <c r="A54" s="31" t="s">
        <v>263</v>
      </c>
      <c r="B54" s="25" t="s">
        <v>264</v>
      </c>
      <c r="C54" s="88"/>
      <c r="D54" s="88"/>
      <c r="E54" s="88" t="s">
        <v>952</v>
      </c>
    </row>
    <row r="57" spans="1:5">
      <c r="A57" s="71" t="s">
        <v>830</v>
      </c>
      <c r="B57" s="71" t="s">
        <v>953</v>
      </c>
      <c r="C57" s="71" t="s">
        <v>954</v>
      </c>
      <c r="D57" s="71"/>
      <c r="E57" s="71" t="s">
        <v>955</v>
      </c>
    </row>
    <row r="58" spans="1:5">
      <c r="A58" t="s">
        <v>956</v>
      </c>
      <c r="B58" t="s">
        <v>957</v>
      </c>
      <c r="C58" t="s">
        <v>958</v>
      </c>
      <c r="E58" t="s">
        <v>959</v>
      </c>
    </row>
    <row r="59" spans="1:5">
      <c r="A59" t="s">
        <v>960</v>
      </c>
      <c r="B59" t="s">
        <v>961</v>
      </c>
      <c r="C59" t="s">
        <v>962</v>
      </c>
      <c r="E59" t="s">
        <v>963</v>
      </c>
    </row>
    <row r="60" spans="1:5">
      <c r="A60" t="s">
        <v>964</v>
      </c>
      <c r="B60" t="s">
        <v>957</v>
      </c>
      <c r="C60" t="s">
        <v>965</v>
      </c>
      <c r="E60" t="s">
        <v>966</v>
      </c>
    </row>
    <row r="61" spans="1:5">
      <c r="A61" t="s">
        <v>967</v>
      </c>
      <c r="B61" t="s">
        <v>957</v>
      </c>
      <c r="C61" t="s">
        <v>968</v>
      </c>
      <c r="E61" t="s">
        <v>969</v>
      </c>
    </row>
  </sheetData>
  <mergeCells count="37">
    <mergeCell ref="B42:B45"/>
    <mergeCell ref="C42:C45"/>
    <mergeCell ref="E42:E45"/>
    <mergeCell ref="B46:B49"/>
    <mergeCell ref="C46:C49"/>
    <mergeCell ref="E46:E49"/>
    <mergeCell ref="B34:B37"/>
    <mergeCell ref="C34:C37"/>
    <mergeCell ref="E34:E37"/>
    <mergeCell ref="B38:B41"/>
    <mergeCell ref="C38:C41"/>
    <mergeCell ref="E38:E41"/>
    <mergeCell ref="B26:B29"/>
    <mergeCell ref="C26:C29"/>
    <mergeCell ref="E26:E29"/>
    <mergeCell ref="B30:B33"/>
    <mergeCell ref="C30:C33"/>
    <mergeCell ref="E30:E33"/>
    <mergeCell ref="B18:B21"/>
    <mergeCell ref="C18:C21"/>
    <mergeCell ref="E18:E21"/>
    <mergeCell ref="B22:B25"/>
    <mergeCell ref="C22:C25"/>
    <mergeCell ref="E22:E25"/>
    <mergeCell ref="B10:B13"/>
    <mergeCell ref="C10:C13"/>
    <mergeCell ref="E10:E13"/>
    <mergeCell ref="B14:B17"/>
    <mergeCell ref="C14:C17"/>
    <mergeCell ref="E14:E17"/>
    <mergeCell ref="B2:B5"/>
    <mergeCell ref="C2:C5"/>
    <mergeCell ref="E2:E5"/>
    <mergeCell ref="B6:B9"/>
    <mergeCell ref="C6:C9"/>
    <mergeCell ref="E6:E9"/>
    <mergeCell ref="D2:D5"/>
  </mergeCells>
  <conditionalFormatting sqref="C1:D2 C3:C5 C6:D1048576">
    <cfRule type="cellIs" dxfId="55" priority="1" operator="equal">
      <formula>"Fail"</formula>
    </cfRule>
    <cfRule type="cellIs" dxfId="54" priority="2" operator="equal">
      <formula>"Pass"</formula>
    </cfRule>
  </conditionalFormatting>
  <hyperlinks>
    <hyperlink ref="E2" r:id="rId1" xr:uid="{58F0F58E-D30F-413B-B9DB-74BAEE6975DB}"/>
    <hyperlink ref="E6" r:id="rId2" xr:uid="{F2F9541C-3757-4ADC-9E70-079122CF235A}"/>
    <hyperlink ref="E10" r:id="rId3" xr:uid="{AB82B4E1-F8A9-4388-8F16-DA7917A42535}"/>
    <hyperlink ref="E14" r:id="rId4" xr:uid="{F63AF2DA-4D40-41E9-A75E-261F562D8F93}"/>
    <hyperlink ref="E18" r:id="rId5" xr:uid="{91E030C4-2D34-4D7E-B43E-DC6634C2B474}"/>
    <hyperlink ref="E22" r:id="rId6" xr:uid="{4A3A8B24-A38A-4E58-9A36-68D2C83D4C0F}"/>
    <hyperlink ref="E26" r:id="rId7" xr:uid="{A2662A0D-14B9-4B8E-897A-21AC01E06941}"/>
    <hyperlink ref="E30" r:id="rId8" xr:uid="{126FF87D-DDA4-47AF-978A-3E4931F7CFFB}"/>
    <hyperlink ref="E34" r:id="rId9" xr:uid="{6BA02A02-3D4D-4275-920E-AEDB0CE6642F}"/>
    <hyperlink ref="E38" r:id="rId10" xr:uid="{C56E29F1-546D-4D49-8E9B-39883B552A29}"/>
    <hyperlink ref="E42" r:id="rId11" xr:uid="{B5A93120-FF73-4E20-AB31-A2D54D9F947B}"/>
    <hyperlink ref="E46" r:id="rId12" xr:uid="{A0276B9B-D624-4EEE-A86C-7A8486806CD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DEB46-C10A-4652-9147-9ADB39898C97}">
  <dimension ref="A1:F104"/>
  <sheetViews>
    <sheetView workbookViewId="0">
      <selection activeCell="B2" sqref="B2"/>
    </sheetView>
  </sheetViews>
  <sheetFormatPr defaultRowHeight="14.45"/>
  <cols>
    <col min="2" max="2" width="64.5703125" style="46" bestFit="1" customWidth="1"/>
    <col min="3" max="3" width="29" style="46" bestFit="1" customWidth="1"/>
    <col min="4" max="4" width="47.7109375" style="46" customWidth="1"/>
    <col min="5" max="5" width="18" customWidth="1"/>
  </cols>
  <sheetData>
    <row r="1" spans="1:5">
      <c r="A1" t="s">
        <v>970</v>
      </c>
      <c r="B1" s="46" t="s">
        <v>971</v>
      </c>
      <c r="C1" s="46" t="s">
        <v>747</v>
      </c>
      <c r="D1" s="46" t="s">
        <v>972</v>
      </c>
    </row>
    <row r="2" spans="1:5">
      <c r="A2">
        <v>1</v>
      </c>
      <c r="B2" s="46" t="s">
        <v>973</v>
      </c>
      <c r="C2" s="59" t="s">
        <v>123</v>
      </c>
      <c r="D2" s="60" t="s">
        <v>692</v>
      </c>
      <c r="E2" s="45" t="s">
        <v>974</v>
      </c>
    </row>
    <row r="3" spans="1:5">
      <c r="A3">
        <v>2</v>
      </c>
      <c r="B3" s="46" t="s">
        <v>975</v>
      </c>
      <c r="C3" s="59" t="s">
        <v>123</v>
      </c>
      <c r="D3" s="46" t="s">
        <v>681</v>
      </c>
      <c r="E3" s="45" t="s">
        <v>976</v>
      </c>
    </row>
    <row r="4" spans="1:5">
      <c r="A4">
        <v>3</v>
      </c>
      <c r="B4" s="46" t="s">
        <v>977</v>
      </c>
      <c r="C4" s="59" t="s">
        <v>123</v>
      </c>
      <c r="D4" s="46" t="s">
        <v>681</v>
      </c>
      <c r="E4" s="45" t="s">
        <v>978</v>
      </c>
    </row>
    <row r="5" spans="1:5">
      <c r="A5">
        <v>4</v>
      </c>
      <c r="B5" s="46" t="s">
        <v>979</v>
      </c>
      <c r="C5" s="59" t="s">
        <v>123</v>
      </c>
      <c r="D5" s="60" t="s">
        <v>692</v>
      </c>
      <c r="E5" s="45" t="s">
        <v>980</v>
      </c>
    </row>
    <row r="6" spans="1:5">
      <c r="A6">
        <v>5</v>
      </c>
      <c r="B6" s="46" t="s">
        <v>981</v>
      </c>
      <c r="C6" s="59" t="s">
        <v>123</v>
      </c>
      <c r="D6" s="60" t="s">
        <v>692</v>
      </c>
      <c r="E6" s="45" t="s">
        <v>982</v>
      </c>
    </row>
    <row r="7" spans="1:5">
      <c r="A7">
        <v>6</v>
      </c>
      <c r="B7" s="46" t="s">
        <v>983</v>
      </c>
      <c r="C7" s="59" t="s">
        <v>123</v>
      </c>
      <c r="D7" s="46" t="s">
        <v>187</v>
      </c>
      <c r="E7" s="45" t="s">
        <v>984</v>
      </c>
    </row>
    <row r="8" spans="1:5">
      <c r="A8">
        <v>7</v>
      </c>
      <c r="B8" s="46" t="s">
        <v>985</v>
      </c>
      <c r="C8" s="59" t="s">
        <v>123</v>
      </c>
      <c r="D8" s="46" t="s">
        <v>986</v>
      </c>
      <c r="E8" s="45" t="s">
        <v>987</v>
      </c>
    </row>
    <row r="9" spans="1:5">
      <c r="A9">
        <v>8</v>
      </c>
      <c r="B9" s="46" t="s">
        <v>988</v>
      </c>
      <c r="C9" s="59" t="s">
        <v>123</v>
      </c>
      <c r="D9" s="46" t="s">
        <v>245</v>
      </c>
      <c r="E9" s="45" t="s">
        <v>989</v>
      </c>
    </row>
    <row r="10" spans="1:5">
      <c r="A10">
        <v>9</v>
      </c>
      <c r="B10" s="46" t="s">
        <v>990</v>
      </c>
      <c r="C10" s="59" t="s">
        <v>123</v>
      </c>
      <c r="D10" s="46" t="s">
        <v>245</v>
      </c>
      <c r="E10" s="45" t="s">
        <v>991</v>
      </c>
    </row>
    <row r="11" spans="1:5">
      <c r="A11">
        <v>10</v>
      </c>
      <c r="B11" s="46" t="s">
        <v>992</v>
      </c>
      <c r="C11" s="59" t="s">
        <v>123</v>
      </c>
      <c r="D11" s="46" t="s">
        <v>418</v>
      </c>
      <c r="E11" s="45" t="s">
        <v>993</v>
      </c>
    </row>
    <row r="12" spans="1:5">
      <c r="A12">
        <v>11</v>
      </c>
      <c r="B12" s="46" t="s">
        <v>994</v>
      </c>
      <c r="C12" s="59" t="s">
        <v>123</v>
      </c>
      <c r="D12" s="46" t="s">
        <v>368</v>
      </c>
      <c r="E12" s="45" t="s">
        <v>995</v>
      </c>
    </row>
    <row r="13" spans="1:5">
      <c r="A13">
        <v>12</v>
      </c>
      <c r="B13" t="s">
        <v>996</v>
      </c>
      <c r="C13" s="56" t="s">
        <v>125</v>
      </c>
      <c r="D13"/>
    </row>
    <row r="14" spans="1:5">
      <c r="A14">
        <v>13</v>
      </c>
      <c r="B14" t="s">
        <v>997</v>
      </c>
      <c r="C14" s="56" t="s">
        <v>125</v>
      </c>
      <c r="D14"/>
    </row>
    <row r="15" spans="1:5">
      <c r="A15">
        <v>14</v>
      </c>
      <c r="B15" t="s">
        <v>998</v>
      </c>
      <c r="C15" s="56" t="s">
        <v>125</v>
      </c>
      <c r="D15"/>
    </row>
    <row r="16" spans="1:5">
      <c r="A16">
        <v>15</v>
      </c>
      <c r="B16" t="s">
        <v>999</v>
      </c>
      <c r="C16" s="59" t="s">
        <v>123</v>
      </c>
      <c r="D16"/>
    </row>
    <row r="17" spans="1:5">
      <c r="A17">
        <v>16</v>
      </c>
      <c r="B17" t="s">
        <v>1000</v>
      </c>
      <c r="C17" s="59" t="s">
        <v>123</v>
      </c>
      <c r="D17"/>
      <c r="E17" s="45" t="s">
        <v>1001</v>
      </c>
    </row>
    <row r="18" spans="1:5">
      <c r="A18">
        <v>17</v>
      </c>
      <c r="B18" t="s">
        <v>1002</v>
      </c>
      <c r="C18" s="58" t="s">
        <v>1003</v>
      </c>
      <c r="D18" t="s">
        <v>1004</v>
      </c>
    </row>
    <row r="19" spans="1:5">
      <c r="A19">
        <v>18</v>
      </c>
      <c r="B19" t="s">
        <v>1005</v>
      </c>
      <c r="C19" s="58" t="s">
        <v>1006</v>
      </c>
      <c r="D19" t="s">
        <v>1007</v>
      </c>
    </row>
    <row r="20" spans="1:5">
      <c r="A20">
        <v>19</v>
      </c>
      <c r="B20" t="s">
        <v>1008</v>
      </c>
      <c r="C20" s="58" t="s">
        <v>1009</v>
      </c>
      <c r="D20" t="s">
        <v>1010</v>
      </c>
    </row>
    <row r="21" spans="1:5" ht="29.1">
      <c r="A21">
        <v>20</v>
      </c>
      <c r="B21" t="s">
        <v>1011</v>
      </c>
      <c r="C21" s="57" t="s">
        <v>1012</v>
      </c>
    </row>
    <row r="22" spans="1:5">
      <c r="A22">
        <v>21</v>
      </c>
      <c r="B22" t="s">
        <v>1013</v>
      </c>
      <c r="C22" s="59" t="s">
        <v>123</v>
      </c>
      <c r="E22" s="45" t="s">
        <v>1014</v>
      </c>
    </row>
    <row r="23" spans="1:5">
      <c r="A23">
        <v>22</v>
      </c>
      <c r="B23" t="s">
        <v>1015</v>
      </c>
      <c r="C23" s="59" t="s">
        <v>123</v>
      </c>
      <c r="E23" s="45" t="s">
        <v>1016</v>
      </c>
    </row>
    <row r="24" spans="1:5">
      <c r="A24">
        <v>23</v>
      </c>
      <c r="B24" t="s">
        <v>1017</v>
      </c>
      <c r="C24" s="59" t="s">
        <v>123</v>
      </c>
      <c r="E24" s="45" t="s">
        <v>1018</v>
      </c>
    </row>
    <row r="25" spans="1:5">
      <c r="A25">
        <v>24</v>
      </c>
      <c r="B25" t="s">
        <v>1019</v>
      </c>
      <c r="C25" s="59" t="s">
        <v>123</v>
      </c>
      <c r="E25" s="45" t="s">
        <v>1020</v>
      </c>
    </row>
    <row r="26" spans="1:5">
      <c r="A26">
        <v>25</v>
      </c>
      <c r="B26" t="s">
        <v>1021</v>
      </c>
      <c r="C26" s="59" t="s">
        <v>123</v>
      </c>
      <c r="E26" s="45" t="s">
        <v>1020</v>
      </c>
    </row>
    <row r="27" spans="1:5">
      <c r="A27">
        <v>26</v>
      </c>
      <c r="B27" t="s">
        <v>1022</v>
      </c>
      <c r="C27" s="59" t="s">
        <v>123</v>
      </c>
      <c r="E27" s="45" t="s">
        <v>1023</v>
      </c>
    </row>
    <row r="28" spans="1:5">
      <c r="A28">
        <v>27</v>
      </c>
      <c r="B28" t="s">
        <v>1024</v>
      </c>
      <c r="C28" s="59" t="s">
        <v>123</v>
      </c>
      <c r="E28" s="45" t="s">
        <v>1025</v>
      </c>
    </row>
    <row r="29" spans="1:5">
      <c r="A29">
        <v>28</v>
      </c>
      <c r="B29" t="s">
        <v>1026</v>
      </c>
      <c r="C29" s="59" t="s">
        <v>123</v>
      </c>
    </row>
    <row r="30" spans="1:5">
      <c r="A30">
        <v>29</v>
      </c>
      <c r="B30" s="46" t="s">
        <v>1027</v>
      </c>
      <c r="C30" s="59" t="s">
        <v>123</v>
      </c>
    </row>
    <row r="31" spans="1:5">
      <c r="A31">
        <v>30</v>
      </c>
      <c r="B31" s="46" t="s">
        <v>1028</v>
      </c>
      <c r="C31" s="59" t="s">
        <v>123</v>
      </c>
      <c r="E31" s="45" t="s">
        <v>1029</v>
      </c>
    </row>
    <row r="34" spans="2:6">
      <c r="B34" s="70" t="s">
        <v>1030</v>
      </c>
      <c r="C34" s="70" t="s">
        <v>121</v>
      </c>
      <c r="D34" s="70" t="s">
        <v>1031</v>
      </c>
      <c r="E34" s="71" t="s">
        <v>1032</v>
      </c>
    </row>
    <row r="35" spans="2:6">
      <c r="B35" s="46" t="s">
        <v>1033</v>
      </c>
      <c r="C35" s="59" t="s">
        <v>123</v>
      </c>
      <c r="D35" s="46" t="s">
        <v>1034</v>
      </c>
      <c r="E35" t="s">
        <v>672</v>
      </c>
      <c r="F35" s="45" t="s">
        <v>1035</v>
      </c>
    </row>
    <row r="36" spans="2:6">
      <c r="B36" s="46" t="s">
        <v>1036</v>
      </c>
      <c r="C36" s="59" t="s">
        <v>123</v>
      </c>
      <c r="D36" s="46" t="s">
        <v>1037</v>
      </c>
      <c r="E36" t="s">
        <v>187</v>
      </c>
      <c r="F36" s="45" t="s">
        <v>1038</v>
      </c>
    </row>
    <row r="37" spans="2:6">
      <c r="B37" s="46" t="s">
        <v>1039</v>
      </c>
      <c r="C37" s="59" t="s">
        <v>123</v>
      </c>
      <c r="D37" s="46" t="s">
        <v>1040</v>
      </c>
      <c r="E37" s="74" t="s">
        <v>1041</v>
      </c>
      <c r="F37" s="45" t="s">
        <v>1042</v>
      </c>
    </row>
    <row r="38" spans="2:6" ht="29.1">
      <c r="B38" s="46" t="s">
        <v>1043</v>
      </c>
      <c r="C38" s="59" t="s">
        <v>123</v>
      </c>
      <c r="D38" s="46" t="s">
        <v>1044</v>
      </c>
      <c r="E38" s="74" t="s">
        <v>1041</v>
      </c>
      <c r="F38" s="45" t="s">
        <v>1045</v>
      </c>
    </row>
    <row r="39" spans="2:6">
      <c r="B39" s="46" t="s">
        <v>1046</v>
      </c>
      <c r="C39" s="59" t="s">
        <v>123</v>
      </c>
      <c r="E39" t="s">
        <v>1047</v>
      </c>
      <c r="F39" s="45" t="s">
        <v>1048</v>
      </c>
    </row>
    <row r="40" spans="2:6">
      <c r="B40" s="46" t="s">
        <v>1049</v>
      </c>
      <c r="C40" s="59" t="s">
        <v>123</v>
      </c>
      <c r="E40" t="s">
        <v>368</v>
      </c>
      <c r="F40" s="42" t="s">
        <v>1050</v>
      </c>
    </row>
    <row r="41" spans="2:6">
      <c r="B41" s="46" t="s">
        <v>1051</v>
      </c>
      <c r="C41" s="59" t="s">
        <v>123</v>
      </c>
      <c r="E41" t="s">
        <v>418</v>
      </c>
      <c r="F41" s="45" t="s">
        <v>1052</v>
      </c>
    </row>
    <row r="42" spans="2:6">
      <c r="B42" s="46" t="s">
        <v>1053</v>
      </c>
      <c r="C42" s="59" t="s">
        <v>123</v>
      </c>
      <c r="E42" t="s">
        <v>433</v>
      </c>
    </row>
    <row r="43" spans="2:6">
      <c r="B43" s="46" t="s">
        <v>1054</v>
      </c>
      <c r="C43" s="59" t="s">
        <v>123</v>
      </c>
      <c r="E43" s="74" t="s">
        <v>1041</v>
      </c>
      <c r="F43" s="42" t="s">
        <v>1055</v>
      </c>
    </row>
    <row r="44" spans="2:6">
      <c r="B44" s="46" t="s">
        <v>1056</v>
      </c>
      <c r="C44" s="59" t="s">
        <v>123</v>
      </c>
      <c r="E44" s="74" t="s">
        <v>1041</v>
      </c>
      <c r="F44" s="42" t="s">
        <v>1055</v>
      </c>
    </row>
    <row r="45" spans="2:6">
      <c r="B45" s="46" t="s">
        <v>1057</v>
      </c>
      <c r="C45" s="59" t="s">
        <v>123</v>
      </c>
      <c r="E45" s="74" t="s">
        <v>1041</v>
      </c>
      <c r="F45" s="45" t="s">
        <v>1058</v>
      </c>
    </row>
    <row r="46" spans="2:6">
      <c r="B46" s="46" t="s">
        <v>1059</v>
      </c>
      <c r="C46" s="59" t="s">
        <v>123</v>
      </c>
      <c r="E46" s="74" t="s">
        <v>1041</v>
      </c>
      <c r="F46" s="45" t="s">
        <v>1060</v>
      </c>
    </row>
    <row r="47" spans="2:6">
      <c r="B47" s="46" t="s">
        <v>1061</v>
      </c>
      <c r="C47" s="59" t="s">
        <v>123</v>
      </c>
    </row>
    <row r="48" spans="2:6">
      <c r="B48" s="46" t="s">
        <v>1062</v>
      </c>
      <c r="C48" s="59" t="s">
        <v>123</v>
      </c>
    </row>
    <row r="49" spans="1:6">
      <c r="B49" s="46" t="s">
        <v>1063</v>
      </c>
      <c r="C49" s="59" t="s">
        <v>123</v>
      </c>
    </row>
    <row r="57" spans="1:6" s="72" customFormat="1">
      <c r="B57" s="73" t="s">
        <v>1064</v>
      </c>
      <c r="C57" s="73" t="s">
        <v>121</v>
      </c>
      <c r="D57" s="73" t="s">
        <v>1065</v>
      </c>
      <c r="E57" s="72" t="s">
        <v>747</v>
      </c>
    </row>
    <row r="58" spans="1:6" ht="29.1">
      <c r="A58">
        <v>1</v>
      </c>
      <c r="B58" s="67" t="s">
        <v>1066</v>
      </c>
      <c r="C58" s="59" t="s">
        <v>123</v>
      </c>
      <c r="D58" s="46" t="s">
        <v>649</v>
      </c>
      <c r="E58" s="74" t="s">
        <v>1067</v>
      </c>
      <c r="F58" s="45" t="s">
        <v>1068</v>
      </c>
    </row>
    <row r="59" spans="1:6" ht="29.1">
      <c r="A59">
        <v>2</v>
      </c>
      <c r="B59" s="67" t="s">
        <v>1069</v>
      </c>
      <c r="C59" s="59" t="s">
        <v>123</v>
      </c>
      <c r="D59" s="46" t="s">
        <v>649</v>
      </c>
      <c r="F59" s="45" t="s">
        <v>1070</v>
      </c>
    </row>
    <row r="60" spans="1:6" ht="29.1">
      <c r="A60">
        <v>3</v>
      </c>
      <c r="B60" s="67" t="s">
        <v>1071</v>
      </c>
      <c r="C60" s="46" t="s">
        <v>125</v>
      </c>
    </row>
    <row r="61" spans="1:6">
      <c r="A61">
        <v>4</v>
      </c>
      <c r="B61" s="67" t="s">
        <v>1072</v>
      </c>
      <c r="C61" s="46" t="s">
        <v>125</v>
      </c>
    </row>
    <row r="62" spans="1:6">
      <c r="A62">
        <v>5</v>
      </c>
      <c r="B62" s="67" t="s">
        <v>1073</v>
      </c>
      <c r="C62" s="46" t="s">
        <v>125</v>
      </c>
    </row>
    <row r="63" spans="1:6" ht="29.1">
      <c r="A63">
        <v>6</v>
      </c>
      <c r="B63" s="67" t="s">
        <v>1074</v>
      </c>
      <c r="C63" s="46" t="s">
        <v>125</v>
      </c>
    </row>
    <row r="64" spans="1:6">
      <c r="A64">
        <v>7</v>
      </c>
      <c r="B64" s="67" t="s">
        <v>1075</v>
      </c>
      <c r="C64" s="46" t="s">
        <v>125</v>
      </c>
    </row>
    <row r="65" spans="1:3">
      <c r="A65">
        <v>8</v>
      </c>
      <c r="B65" s="67" t="s">
        <v>1076</v>
      </c>
      <c r="C65" s="46" t="s">
        <v>125</v>
      </c>
    </row>
    <row r="66" spans="1:3">
      <c r="A66">
        <v>9</v>
      </c>
      <c r="B66" s="67" t="s">
        <v>1077</v>
      </c>
      <c r="C66" s="46" t="s">
        <v>125</v>
      </c>
    </row>
    <row r="67" spans="1:3">
      <c r="A67">
        <v>10</v>
      </c>
      <c r="B67" s="67" t="s">
        <v>1078</v>
      </c>
      <c r="C67" s="46" t="s">
        <v>125</v>
      </c>
    </row>
    <row r="68" spans="1:3">
      <c r="A68">
        <v>11</v>
      </c>
      <c r="B68" s="67" t="s">
        <v>1079</v>
      </c>
      <c r="C68" s="46" t="s">
        <v>125</v>
      </c>
    </row>
    <row r="69" spans="1:3">
      <c r="A69">
        <v>12</v>
      </c>
      <c r="B69" s="67" t="s">
        <v>1080</v>
      </c>
      <c r="C69" s="46" t="s">
        <v>125</v>
      </c>
    </row>
    <row r="70" spans="1:3">
      <c r="A70">
        <v>13</v>
      </c>
      <c r="B70" s="67" t="s">
        <v>1081</v>
      </c>
      <c r="C70" s="46" t="s">
        <v>125</v>
      </c>
    </row>
    <row r="71" spans="1:3">
      <c r="A71">
        <v>14</v>
      </c>
      <c r="B71" s="68" t="s">
        <v>1082</v>
      </c>
      <c r="C71" s="46" t="s">
        <v>125</v>
      </c>
    </row>
    <row r="72" spans="1:3">
      <c r="A72">
        <v>15</v>
      </c>
      <c r="B72" s="68" t="s">
        <v>1083</v>
      </c>
      <c r="C72" s="46" t="s">
        <v>125</v>
      </c>
    </row>
    <row r="73" spans="1:3">
      <c r="A73">
        <v>16</v>
      </c>
      <c r="B73" s="68" t="s">
        <v>1084</v>
      </c>
      <c r="C73" s="46" t="s">
        <v>125</v>
      </c>
    </row>
    <row r="74" spans="1:3">
      <c r="A74">
        <v>17</v>
      </c>
      <c r="B74" s="68" t="s">
        <v>1085</v>
      </c>
      <c r="C74" s="46" t="s">
        <v>125</v>
      </c>
    </row>
    <row r="75" spans="1:3" ht="29.1">
      <c r="A75">
        <v>18</v>
      </c>
      <c r="B75" s="67" t="s">
        <v>1086</v>
      </c>
      <c r="C75" s="46" t="s">
        <v>125</v>
      </c>
    </row>
    <row r="76" spans="1:3" ht="29.1">
      <c r="A76">
        <v>19</v>
      </c>
      <c r="B76" s="67" t="s">
        <v>1087</v>
      </c>
      <c r="C76" s="46" t="s">
        <v>125</v>
      </c>
    </row>
    <row r="77" spans="1:3" ht="29.1">
      <c r="A77">
        <v>20</v>
      </c>
      <c r="B77" s="67" t="s">
        <v>1088</v>
      </c>
      <c r="C77" s="46" t="s">
        <v>125</v>
      </c>
    </row>
    <row r="78" spans="1:3" ht="29.1">
      <c r="A78">
        <v>21</v>
      </c>
      <c r="B78" s="67" t="s">
        <v>1089</v>
      </c>
      <c r="C78" s="46" t="s">
        <v>125</v>
      </c>
    </row>
    <row r="79" spans="1:3" ht="29.1">
      <c r="A79">
        <v>22</v>
      </c>
      <c r="B79" s="67" t="s">
        <v>1090</v>
      </c>
      <c r="C79" s="46" t="s">
        <v>125</v>
      </c>
    </row>
    <row r="80" spans="1:3">
      <c r="A80">
        <v>23</v>
      </c>
      <c r="B80" s="67" t="s">
        <v>1091</v>
      </c>
      <c r="C80" s="46" t="s">
        <v>125</v>
      </c>
    </row>
    <row r="81" spans="1:3">
      <c r="A81">
        <v>24</v>
      </c>
      <c r="B81" s="69" t="s">
        <v>1092</v>
      </c>
      <c r="C81" s="46" t="s">
        <v>125</v>
      </c>
    </row>
    <row r="82" spans="1:3">
      <c r="B82" s="66"/>
    </row>
    <row r="83" spans="1:3">
      <c r="B83" s="66"/>
    </row>
    <row r="84" spans="1:3">
      <c r="B84" s="66"/>
    </row>
    <row r="85" spans="1:3">
      <c r="B85" s="66"/>
    </row>
    <row r="86" spans="1:3">
      <c r="B86" s="66"/>
    </row>
    <row r="87" spans="1:3">
      <c r="B87" s="66"/>
    </row>
    <row r="88" spans="1:3">
      <c r="B88" s="66"/>
    </row>
    <row r="89" spans="1:3">
      <c r="B89" s="66"/>
    </row>
    <row r="90" spans="1:3">
      <c r="B90" s="66"/>
    </row>
    <row r="91" spans="1:3">
      <c r="B91" s="66"/>
    </row>
    <row r="92" spans="1:3">
      <c r="B92" s="66"/>
    </row>
    <row r="93" spans="1:3">
      <c r="B93" s="66"/>
    </row>
    <row r="94" spans="1:3">
      <c r="B94" s="66"/>
    </row>
    <row r="95" spans="1:3">
      <c r="B95" s="66"/>
    </row>
    <row r="96" spans="1:3">
      <c r="B96" s="66"/>
    </row>
    <row r="97" spans="2:2">
      <c r="B97" s="66"/>
    </row>
    <row r="98" spans="2:2">
      <c r="B98" s="66"/>
    </row>
    <row r="99" spans="2:2">
      <c r="B99" s="66"/>
    </row>
    <row r="100" spans="2:2">
      <c r="B100" s="66"/>
    </row>
    <row r="101" spans="2:2">
      <c r="B101" s="66"/>
    </row>
    <row r="102" spans="2:2">
      <c r="B102" s="66"/>
    </row>
    <row r="103" spans="2:2">
      <c r="B103" s="66"/>
    </row>
    <row r="104" spans="2:2">
      <c r="B104" s="66"/>
    </row>
  </sheetData>
  <conditionalFormatting sqref="C60:C1048576">
    <cfRule type="cellIs" dxfId="53" priority="1" operator="equal">
      <formula>"Completed"</formula>
    </cfRule>
    <cfRule type="cellIs" dxfId="52" priority="2" operator="equal">
      <formula>"In Progress"</formula>
    </cfRule>
    <cfRule type="cellIs" dxfId="51" priority="3" operator="equal">
      <formula>"Not Started"</formula>
    </cfRule>
  </conditionalFormatting>
  <dataValidations count="1">
    <dataValidation type="list" allowBlank="1" showInputMessage="1" showErrorMessage="1" sqref="C60:C1048576" xr:uid="{DD8F7EEF-5F69-44BE-8F57-AE64AE4DB5BE}">
      <formula1>"Not Started, In Progress, Completed"</formula1>
    </dataValidation>
  </dataValidations>
  <hyperlinks>
    <hyperlink ref="E2" r:id="rId1" xr:uid="{CDCC06D5-25AA-4561-A6AB-E3789806AEB5}"/>
    <hyperlink ref="E3" r:id="rId2" xr:uid="{9FD1CDE6-D38F-4657-9888-78FF6E1CE297}"/>
    <hyperlink ref="E7" r:id="rId3" xr:uid="{FB62D85A-2AB0-4A67-8C8A-B6D77454EBE0}"/>
    <hyperlink ref="E8" r:id="rId4" xr:uid="{420AC143-AE17-4DE6-83A0-5C602A623A99}"/>
    <hyperlink ref="E9" r:id="rId5" xr:uid="{E273FDC3-D6DB-4DEE-81C2-D831DF1A0EC5}"/>
    <hyperlink ref="E10" r:id="rId6" xr:uid="{14D647E7-8E90-4449-8333-AC89EC2CC5CA}"/>
    <hyperlink ref="E11" r:id="rId7" xr:uid="{6E1A44EA-6460-47F8-9FAA-6B9B97A91E48}"/>
    <hyperlink ref="E12" r:id="rId8" xr:uid="{E7FE336C-70BA-4316-B510-01AAED165971}"/>
    <hyperlink ref="E4" r:id="rId9" xr:uid="{C0D0BDCF-02FB-4CBB-A9D6-4743F6E85809}"/>
    <hyperlink ref="E5" r:id="rId10" xr:uid="{04344134-108A-433E-BBA8-813B2239D89D}"/>
    <hyperlink ref="E6" r:id="rId11" xr:uid="{BB5E4259-A608-4530-8D07-405BC1017533}"/>
    <hyperlink ref="E17" r:id="rId12" xr:uid="{AD60FF06-B1D2-4CF2-9922-E4390F1747B5}"/>
    <hyperlink ref="E31" r:id="rId13" xr:uid="{50F86C5D-D670-4E86-B957-38631808A916}"/>
    <hyperlink ref="E22" r:id="rId14" xr:uid="{881C50D7-DE28-468B-8DE8-FB29D5E76045}"/>
    <hyperlink ref="E23" r:id="rId15" xr:uid="{77C256E4-030A-4B10-AAA2-2F2705466CF4}"/>
    <hyperlink ref="E24" r:id="rId16" xr:uid="{C1671FC6-34C6-4C14-AE40-1A264533F04A}"/>
    <hyperlink ref="E25" r:id="rId17" xr:uid="{E59DCB83-C9D3-4EB5-ADE2-5757A9078F89}"/>
    <hyperlink ref="E26" r:id="rId18" xr:uid="{F4AA7D6B-7DCE-4580-8824-E31CF3F9B7DB}"/>
    <hyperlink ref="E27" r:id="rId19" xr:uid="{80996D6A-3B1D-44EE-AD76-4AE744F86CF4}"/>
    <hyperlink ref="E28" r:id="rId20" xr:uid="{EB14F4B4-AEE2-4E93-A9B3-BAC40037D95B}"/>
    <hyperlink ref="F35" r:id="rId21" xr:uid="{23A0D946-8B40-4F65-83F2-FECDE0CBB8BD}"/>
    <hyperlink ref="F37" r:id="rId22" xr:uid="{5A6A21A2-0429-40C8-BC3E-B323DDF90FC9}"/>
    <hyperlink ref="F36" r:id="rId23" xr:uid="{78B6CFE4-BDA0-4894-9977-0996DA850C2F}"/>
    <hyperlink ref="F38" r:id="rId24" xr:uid="{D1C2AE5D-B314-4C35-BEEC-295C8A844F42}"/>
    <hyperlink ref="F40" r:id="rId25" xr:uid="{C49A4AC6-C1BF-4D65-A459-DA109280F5A2}"/>
    <hyperlink ref="F41" r:id="rId26" xr:uid="{8CC24013-FB53-47DA-9A71-84060A33A63C}"/>
    <hyperlink ref="F43" r:id="rId27" xr:uid="{83393AE9-48D8-4103-B529-92724D270276}"/>
    <hyperlink ref="F45" r:id="rId28" xr:uid="{6634AE07-A338-46A5-BDE2-ACBB5DE091A5}"/>
    <hyperlink ref="F44" r:id="rId29" xr:uid="{F667C028-62D1-425C-9542-49ADD38BCFD2}"/>
    <hyperlink ref="F46" r:id="rId30" xr:uid="{F58ADD63-9208-4361-B5B4-7FD25E56E80B}"/>
    <hyperlink ref="F59" r:id="rId31" xr:uid="{094A7A12-FC38-46F0-89CB-FD3A6CF6E895}"/>
    <hyperlink ref="F58" r:id="rId32" xr:uid="{716DB1D0-1792-41E5-BBCE-03D242A8D404}"/>
    <hyperlink ref="F39" r:id="rId33" xr:uid="{A586FBE9-2613-4708-8DE4-53B7A290F03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0687B-CBD8-41AB-8F82-43ECE5B21DD0}">
  <dimension ref="A1:H12"/>
  <sheetViews>
    <sheetView topLeftCell="D2" workbookViewId="0">
      <selection activeCell="E2" sqref="E2"/>
    </sheetView>
  </sheetViews>
  <sheetFormatPr defaultRowHeight="14.45"/>
  <cols>
    <col min="1" max="1" width="5.140625" bestFit="1" customWidth="1"/>
    <col min="2" max="2" width="19.5703125" bestFit="1" customWidth="1"/>
    <col min="3" max="3" width="21" customWidth="1"/>
    <col min="4" max="4" width="6.5703125" customWidth="1"/>
    <col min="5" max="5" width="55" style="46" customWidth="1"/>
    <col min="6" max="6" width="44.42578125" bestFit="1" customWidth="1"/>
    <col min="8" max="8" width="33.85546875" customWidth="1"/>
  </cols>
  <sheetData>
    <row r="1" spans="1:8">
      <c r="A1" t="s">
        <v>970</v>
      </c>
      <c r="B1" t="s">
        <v>1093</v>
      </c>
      <c r="C1" t="s">
        <v>121</v>
      </c>
      <c r="F1" t="s">
        <v>1094</v>
      </c>
      <c r="G1" t="s">
        <v>1095</v>
      </c>
      <c r="H1" t="s">
        <v>1096</v>
      </c>
    </row>
    <row r="2" spans="1:8" ht="217.5">
      <c r="A2" s="62">
        <v>1</v>
      </c>
      <c r="B2" s="62" t="s">
        <v>187</v>
      </c>
      <c r="C2" s="64" t="s">
        <v>1097</v>
      </c>
      <c r="D2" s="62"/>
      <c r="E2" s="65" t="s">
        <v>1098</v>
      </c>
      <c r="F2" s="63" t="s">
        <v>1099</v>
      </c>
      <c r="G2" s="46" t="s">
        <v>1100</v>
      </c>
      <c r="H2" s="46" t="s">
        <v>1101</v>
      </c>
    </row>
    <row r="3" spans="1:8" ht="43.5">
      <c r="A3" s="62">
        <v>2</v>
      </c>
      <c r="B3" s="62" t="s">
        <v>672</v>
      </c>
      <c r="C3" s="64" t="s">
        <v>1097</v>
      </c>
      <c r="D3" s="62"/>
      <c r="E3" s="63"/>
      <c r="F3" s="63" t="s">
        <v>1102</v>
      </c>
    </row>
    <row r="4" spans="1:8" ht="43.5">
      <c r="A4" s="62">
        <v>3</v>
      </c>
      <c r="B4" s="62" t="s">
        <v>245</v>
      </c>
      <c r="C4" s="64" t="s">
        <v>1097</v>
      </c>
      <c r="D4" s="62"/>
      <c r="E4" s="63"/>
      <c r="F4" s="63" t="s">
        <v>1103</v>
      </c>
    </row>
    <row r="5" spans="1:8" ht="43.5">
      <c r="A5" s="62">
        <v>4</v>
      </c>
      <c r="B5" s="62" t="s">
        <v>1104</v>
      </c>
      <c r="C5" s="64" t="s">
        <v>1097</v>
      </c>
      <c r="D5" s="62"/>
      <c r="E5" s="63"/>
      <c r="F5" s="63" t="s">
        <v>1105</v>
      </c>
    </row>
    <row r="6" spans="1:8" ht="72.599999999999994">
      <c r="A6" s="62">
        <v>5</v>
      </c>
      <c r="B6" s="62" t="s">
        <v>368</v>
      </c>
      <c r="C6" s="64" t="s">
        <v>1097</v>
      </c>
      <c r="D6" s="62"/>
      <c r="E6" s="63"/>
      <c r="F6" s="63" t="s">
        <v>1106</v>
      </c>
    </row>
    <row r="7" spans="1:8" ht="29.1">
      <c r="A7" s="62">
        <v>6</v>
      </c>
      <c r="B7" s="62" t="s">
        <v>418</v>
      </c>
      <c r="C7" s="64" t="s">
        <v>1097</v>
      </c>
      <c r="D7" s="62"/>
      <c r="E7" s="63" t="s">
        <v>1107</v>
      </c>
      <c r="F7" s="63" t="s">
        <v>1108</v>
      </c>
    </row>
    <row r="8" spans="1:8" ht="72.599999999999994">
      <c r="A8" s="62">
        <v>8</v>
      </c>
      <c r="B8" s="62" t="s">
        <v>681</v>
      </c>
      <c r="C8" s="64" t="s">
        <v>1097</v>
      </c>
      <c r="D8" s="62"/>
      <c r="E8" s="63"/>
      <c r="F8" s="63" t="s">
        <v>1109</v>
      </c>
    </row>
    <row r="9" spans="1:8" ht="130.5">
      <c r="A9" s="62">
        <v>9</v>
      </c>
      <c r="B9" s="62" t="s">
        <v>692</v>
      </c>
      <c r="C9" s="64" t="s">
        <v>1097</v>
      </c>
      <c r="D9" s="62"/>
      <c r="E9" s="63"/>
      <c r="F9" s="63" t="s">
        <v>1110</v>
      </c>
    </row>
    <row r="10" spans="1:8" ht="43.5">
      <c r="A10" s="62">
        <v>10</v>
      </c>
      <c r="B10" s="62" t="s">
        <v>653</v>
      </c>
      <c r="C10" s="64" t="s">
        <v>1097</v>
      </c>
      <c r="D10" s="62"/>
      <c r="E10" s="63"/>
      <c r="F10" s="63" t="s">
        <v>1111</v>
      </c>
    </row>
    <row r="11" spans="1:8">
      <c r="A11" s="62"/>
      <c r="B11" s="62"/>
      <c r="C11" s="62"/>
      <c r="D11" s="62"/>
      <c r="E11" s="63"/>
      <c r="F11" s="62"/>
    </row>
    <row r="12" spans="1:8">
      <c r="A12" s="62"/>
      <c r="B12" s="62"/>
      <c r="C12" s="62"/>
      <c r="D12" s="62"/>
      <c r="E12" s="63"/>
      <c r="F12" s="62"/>
    </row>
  </sheetData>
  <hyperlinks>
    <hyperlink ref="E2" r:id="rId1" xr:uid="{62629569-09AF-417C-A1E6-7AC06E20D96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8AB5A-CE17-41E6-A874-557023F2A08A}">
  <dimension ref="A1:C3"/>
  <sheetViews>
    <sheetView workbookViewId="0">
      <selection activeCell="J15" sqref="J15"/>
    </sheetView>
  </sheetViews>
  <sheetFormatPr defaultRowHeight="14.45"/>
  <cols>
    <col min="2" max="2" width="42.7109375" customWidth="1"/>
    <col min="3" max="3" width="18.5703125" bestFit="1" customWidth="1"/>
  </cols>
  <sheetData>
    <row r="1" spans="1:3">
      <c r="A1" t="s">
        <v>970</v>
      </c>
      <c r="B1" s="46" t="s">
        <v>1112</v>
      </c>
      <c r="C1" t="s">
        <v>1113</v>
      </c>
    </row>
    <row r="2" spans="1:3">
      <c r="A2">
        <v>1</v>
      </c>
      <c r="B2" t="s">
        <v>1114</v>
      </c>
      <c r="C2" s="76">
        <v>46058</v>
      </c>
    </row>
    <row r="3" spans="1:3">
      <c r="A3">
        <v>2</v>
      </c>
      <c r="B3" t="s">
        <v>1115</v>
      </c>
      <c r="C3" s="76">
        <v>46058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4885-0A23-4CD9-B78C-1259AC8B6573}">
  <dimension ref="A19:F71"/>
  <sheetViews>
    <sheetView topLeftCell="A31" workbookViewId="0">
      <selection activeCell="A42" sqref="A42"/>
    </sheetView>
  </sheetViews>
  <sheetFormatPr defaultRowHeight="14.45"/>
  <cols>
    <col min="1" max="1" width="37.42578125" bestFit="1" customWidth="1"/>
    <col min="2" max="2" width="43.7109375" bestFit="1" customWidth="1"/>
    <col min="3" max="3" width="26.42578125" bestFit="1" customWidth="1"/>
    <col min="4" max="4" width="16.28515625" bestFit="1" customWidth="1"/>
    <col min="5" max="5" width="49.28515625" bestFit="1" customWidth="1"/>
    <col min="6" max="6" width="61.140625" bestFit="1" customWidth="1"/>
  </cols>
  <sheetData>
    <row r="19" spans="1:4">
      <c r="A19" t="s">
        <v>1116</v>
      </c>
    </row>
    <row r="21" spans="1:4" s="90" customFormat="1">
      <c r="A21" s="90" t="s">
        <v>1117</v>
      </c>
      <c r="B21" s="90" t="s">
        <v>1118</v>
      </c>
      <c r="C21" s="90" t="s">
        <v>1119</v>
      </c>
    </row>
    <row r="22" spans="1:4">
      <c r="A22" s="91" t="s">
        <v>1120</v>
      </c>
      <c r="B22" s="91" t="s">
        <v>1121</v>
      </c>
      <c r="C22" s="91" t="s">
        <v>1122</v>
      </c>
      <c r="D22" s="92" t="s">
        <v>1123</v>
      </c>
    </row>
    <row r="23" spans="1:4">
      <c r="A23" s="91" t="s">
        <v>1124</v>
      </c>
      <c r="B23" s="91" t="s">
        <v>1121</v>
      </c>
      <c r="C23" s="92" t="s">
        <v>1125</v>
      </c>
      <c r="D23" s="92" t="s">
        <v>1126</v>
      </c>
    </row>
    <row r="24" spans="1:4">
      <c r="A24" s="99" t="s">
        <v>1127</v>
      </c>
      <c r="B24" s="91" t="s">
        <v>1121</v>
      </c>
      <c r="C24" s="92" t="s">
        <v>1128</v>
      </c>
      <c r="D24" s="91" t="s">
        <v>1123</v>
      </c>
    </row>
    <row r="25" spans="1:4">
      <c r="A25" s="92" t="s">
        <v>1129</v>
      </c>
      <c r="B25" s="91" t="s">
        <v>1121</v>
      </c>
      <c r="C25" s="92" t="s">
        <v>1125</v>
      </c>
      <c r="D25" s="91" t="s">
        <v>1130</v>
      </c>
    </row>
    <row r="26" spans="1:4" s="92" customFormat="1">
      <c r="A26" s="120" t="s">
        <v>1131</v>
      </c>
      <c r="B26" s="91" t="s">
        <v>1121</v>
      </c>
      <c r="C26" s="119" t="s">
        <v>1132</v>
      </c>
      <c r="D26" s="92" t="s">
        <v>1123</v>
      </c>
    </row>
    <row r="27" spans="1:4" s="123" customFormat="1">
      <c r="A27" s="121"/>
      <c r="B27" s="122"/>
      <c r="C27" s="121"/>
    </row>
    <row r="28" spans="1:4">
      <c r="A28" s="91"/>
      <c r="B28" s="91"/>
      <c r="C28" s="91"/>
      <c r="D28" s="91"/>
    </row>
    <row r="29" spans="1:4">
      <c r="A29" s="99" t="s">
        <v>1133</v>
      </c>
      <c r="B29" s="91" t="s">
        <v>1134</v>
      </c>
      <c r="C29" s="92" t="s">
        <v>1135</v>
      </c>
      <c r="D29" s="91" t="s">
        <v>1136</v>
      </c>
    </row>
    <row r="30" spans="1:4">
      <c r="A30" s="92" t="s">
        <v>1137</v>
      </c>
      <c r="B30" s="91" t="s">
        <v>1134</v>
      </c>
      <c r="C30" s="91"/>
      <c r="D30" s="91" t="s">
        <v>1138</v>
      </c>
    </row>
    <row r="31" spans="1:4">
      <c r="A31" s="92" t="s">
        <v>1139</v>
      </c>
      <c r="B31" s="91" t="s">
        <v>1134</v>
      </c>
      <c r="C31" s="92" t="s">
        <v>1128</v>
      </c>
      <c r="D31" s="91" t="s">
        <v>1136</v>
      </c>
    </row>
    <row r="32" spans="1:4">
      <c r="A32" s="91"/>
      <c r="B32" s="91"/>
      <c r="C32" s="91"/>
      <c r="D32" s="91"/>
    </row>
    <row r="33" spans="1:6">
      <c r="A33" s="92" t="s">
        <v>1140</v>
      </c>
      <c r="B33" s="92" t="s">
        <v>1141</v>
      </c>
      <c r="C33" s="92" t="s">
        <v>1125</v>
      </c>
      <c r="D33" s="91" t="s">
        <v>1142</v>
      </c>
    </row>
    <row r="34" spans="1:6">
      <c r="A34" s="92" t="s">
        <v>1143</v>
      </c>
      <c r="B34" s="92" t="s">
        <v>1141</v>
      </c>
      <c r="C34" s="91" t="s">
        <v>1135</v>
      </c>
      <c r="D34" s="91" t="s">
        <v>1142</v>
      </c>
    </row>
    <row r="35" spans="1:6">
      <c r="A35" s="92" t="s">
        <v>1144</v>
      </c>
      <c r="B35" s="92" t="s">
        <v>1141</v>
      </c>
      <c r="C35" s="91" t="s">
        <v>1135</v>
      </c>
      <c r="D35" s="91" t="s">
        <v>1145</v>
      </c>
    </row>
    <row r="36" spans="1:6">
      <c r="A36" s="99" t="s">
        <v>1146</v>
      </c>
      <c r="B36" s="92" t="s">
        <v>1141</v>
      </c>
      <c r="C36" s="91" t="s">
        <v>1122</v>
      </c>
      <c r="D36" s="91" t="s">
        <v>1142</v>
      </c>
    </row>
    <row r="37" spans="1:6">
      <c r="A37" s="92" t="s">
        <v>1147</v>
      </c>
      <c r="B37" s="92" t="s">
        <v>1141</v>
      </c>
      <c r="C37" s="91" t="s">
        <v>1122</v>
      </c>
      <c r="D37" s="91" t="s">
        <v>1148</v>
      </c>
    </row>
    <row r="40" spans="1:6" s="71" customFormat="1">
      <c r="A40" s="71" t="s">
        <v>1149</v>
      </c>
      <c r="C40" s="71" t="s">
        <v>830</v>
      </c>
      <c r="D40" s="71" t="s">
        <v>953</v>
      </c>
      <c r="E40" s="71" t="s">
        <v>954</v>
      </c>
      <c r="F40" s="71" t="s">
        <v>955</v>
      </c>
    </row>
    <row r="41" spans="1:6">
      <c r="A41" t="s">
        <v>1150</v>
      </c>
      <c r="C41" t="s">
        <v>956</v>
      </c>
      <c r="D41" t="s">
        <v>957</v>
      </c>
      <c r="E41" t="s">
        <v>958</v>
      </c>
      <c r="F41" t="s">
        <v>959</v>
      </c>
    </row>
    <row r="42" spans="1:6">
      <c r="A42" t="s">
        <v>1151</v>
      </c>
      <c r="C42" t="s">
        <v>960</v>
      </c>
      <c r="D42" t="s">
        <v>961</v>
      </c>
      <c r="E42" t="s">
        <v>962</v>
      </c>
      <c r="F42" t="s">
        <v>963</v>
      </c>
    </row>
    <row r="43" spans="1:6">
      <c r="A43" t="s">
        <v>1152</v>
      </c>
      <c r="C43" t="s">
        <v>964</v>
      </c>
      <c r="D43" t="s">
        <v>957</v>
      </c>
      <c r="E43" t="s">
        <v>965</v>
      </c>
      <c r="F43" t="s">
        <v>966</v>
      </c>
    </row>
    <row r="44" spans="1:6">
      <c r="A44" t="s">
        <v>1153</v>
      </c>
      <c r="B44" t="s">
        <v>1154</v>
      </c>
      <c r="C44" t="s">
        <v>967</v>
      </c>
      <c r="D44" t="s">
        <v>957</v>
      </c>
      <c r="E44" t="s">
        <v>968</v>
      </c>
      <c r="F44" t="s">
        <v>969</v>
      </c>
    </row>
    <row r="46" spans="1:6" s="71" customFormat="1">
      <c r="A46" s="71" t="s">
        <v>1155</v>
      </c>
    </row>
    <row r="47" spans="1:6">
      <c r="A47" s="104" t="s">
        <v>1156</v>
      </c>
      <c r="B47" t="s">
        <v>1157</v>
      </c>
    </row>
    <row r="48" spans="1:6">
      <c r="A48" s="104" t="s">
        <v>1158</v>
      </c>
      <c r="B48" t="s">
        <v>1159</v>
      </c>
    </row>
    <row r="49" spans="1:3">
      <c r="A49" s="104" t="s">
        <v>1160</v>
      </c>
      <c r="B49" t="s">
        <v>1161</v>
      </c>
    </row>
    <row r="50" spans="1:3">
      <c r="A50" s="104" t="s">
        <v>1162</v>
      </c>
      <c r="B50" t="s">
        <v>1163</v>
      </c>
    </row>
    <row r="51" spans="1:3">
      <c r="A51" s="104" t="s">
        <v>1164</v>
      </c>
      <c r="B51" t="s">
        <v>1142</v>
      </c>
    </row>
    <row r="52" spans="1:3">
      <c r="A52" s="104" t="s">
        <v>887</v>
      </c>
      <c r="B52" t="s">
        <v>1165</v>
      </c>
      <c r="C52" s="105">
        <v>560066</v>
      </c>
    </row>
    <row r="53" spans="1:3">
      <c r="A53" s="104" t="s">
        <v>1166</v>
      </c>
      <c r="B53" t="s">
        <v>1167</v>
      </c>
    </row>
    <row r="54" spans="1:3">
      <c r="A54" s="104" t="s">
        <v>1168</v>
      </c>
      <c r="B54" t="s">
        <v>1169</v>
      </c>
    </row>
    <row r="55" spans="1:3">
      <c r="A55" s="104" t="s">
        <v>1170</v>
      </c>
      <c r="B55" t="s">
        <v>1171</v>
      </c>
    </row>
    <row r="56" spans="1:3">
      <c r="A56" s="104" t="s">
        <v>1172</v>
      </c>
      <c r="B56" t="s">
        <v>1173</v>
      </c>
      <c r="C56" t="s">
        <v>1174</v>
      </c>
    </row>
    <row r="57" spans="1:3">
      <c r="A57" s="104" t="s">
        <v>1175</v>
      </c>
      <c r="B57" t="s">
        <v>1176</v>
      </c>
      <c r="C57" t="s">
        <v>1177</v>
      </c>
    </row>
    <row r="58" spans="1:3">
      <c r="A58" s="104" t="s">
        <v>1178</v>
      </c>
      <c r="B58" s="103" t="s">
        <v>1179</v>
      </c>
    </row>
    <row r="59" spans="1:3">
      <c r="A59" s="104" t="s">
        <v>1180</v>
      </c>
      <c r="B59" t="s">
        <v>1181</v>
      </c>
    </row>
    <row r="62" spans="1:3">
      <c r="A62" t="s">
        <v>1182</v>
      </c>
    </row>
    <row r="63" spans="1:3" ht="15">
      <c r="A63" s="117" t="s">
        <v>1183</v>
      </c>
      <c r="B63" s="117" t="s">
        <v>1184</v>
      </c>
      <c r="C63">
        <v>150</v>
      </c>
    </row>
    <row r="64" spans="1:3" ht="15">
      <c r="A64" s="117" t="s">
        <v>1185</v>
      </c>
    </row>
    <row r="65" spans="1:4" ht="15">
      <c r="A65" s="117" t="s">
        <v>1186</v>
      </c>
      <c r="B65" s="117" t="s">
        <v>1187</v>
      </c>
      <c r="C65">
        <v>200</v>
      </c>
    </row>
    <row r="66" spans="1:4" ht="15">
      <c r="A66" s="117" t="s">
        <v>1188</v>
      </c>
      <c r="B66" s="117" t="s">
        <v>1189</v>
      </c>
      <c r="C66">
        <v>175</v>
      </c>
    </row>
    <row r="68" spans="1:4">
      <c r="A68" t="s">
        <v>1190</v>
      </c>
      <c r="C68">
        <v>100</v>
      </c>
    </row>
    <row r="70" spans="1:4">
      <c r="A70" s="99" t="s">
        <v>1127</v>
      </c>
      <c r="B70" s="91" t="s">
        <v>1121</v>
      </c>
      <c r="C70" s="92" t="s">
        <v>1128</v>
      </c>
      <c r="D70" s="91" t="s">
        <v>1123</v>
      </c>
    </row>
    <row r="71" spans="1:4" s="92" customFormat="1">
      <c r="A71" s="120" t="s">
        <v>1131</v>
      </c>
      <c r="B71" s="91" t="s">
        <v>1121</v>
      </c>
      <c r="C71" s="119" t="s">
        <v>1132</v>
      </c>
      <c r="D71" s="92" t="s">
        <v>1123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8B17-5F5D-4DF4-9FE7-16E0342BC83A}">
  <dimension ref="A2:D18"/>
  <sheetViews>
    <sheetView workbookViewId="0">
      <selection activeCell="J20" sqref="J20"/>
    </sheetView>
  </sheetViews>
  <sheetFormatPr defaultRowHeight="14.45"/>
  <sheetData>
    <row r="2" spans="1:4">
      <c r="A2" t="s">
        <v>1191</v>
      </c>
    </row>
    <row r="3" spans="1:4">
      <c r="A3" t="s">
        <v>1192</v>
      </c>
    </row>
    <row r="14" spans="1:4">
      <c r="D14" s="212" t="s">
        <v>1193</v>
      </c>
    </row>
    <row r="15" spans="1:4">
      <c r="D15" s="212"/>
    </row>
    <row r="16" spans="1:4">
      <c r="D16" s="212"/>
    </row>
    <row r="17" spans="4:4">
      <c r="D17" s="212"/>
    </row>
    <row r="18" spans="4:4">
      <c r="D18" s="212"/>
    </row>
  </sheetData>
  <mergeCells count="1">
    <mergeCell ref="D14:D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66FD-A140-4D58-B033-61553984BCBC}">
  <dimension ref="A1:V431"/>
  <sheetViews>
    <sheetView zoomScale="80" zoomScaleNormal="80" workbookViewId="0">
      <pane ySplit="1" topLeftCell="A116" activePane="bottomLeft" state="frozen"/>
      <selection pane="bottomLeft" activeCell="C124" sqref="C124:F127"/>
    </sheetView>
  </sheetViews>
  <sheetFormatPr defaultColWidth="13" defaultRowHeight="15.95"/>
  <cols>
    <col min="1" max="1" width="13" style="18"/>
    <col min="2" max="2" width="38.28515625" style="23" customWidth="1"/>
    <col min="3" max="3" width="30.140625" style="18" customWidth="1"/>
    <col min="4" max="4" width="29.140625" style="17" customWidth="1"/>
    <col min="5" max="5" width="10.140625" style="16" bestFit="1" customWidth="1"/>
    <col min="6" max="6" width="49.140625" style="20" customWidth="1"/>
    <col min="7" max="7" width="82.140625" style="20" customWidth="1"/>
    <col min="8" max="8" width="92.42578125" style="36" customWidth="1"/>
    <col min="9" max="9" width="13.85546875" style="17" bestFit="1" customWidth="1"/>
    <col min="10" max="10" width="11" style="17" bestFit="1" customWidth="1"/>
    <col min="11" max="11" width="8.5703125" style="17" bestFit="1" customWidth="1"/>
    <col min="12" max="12" width="12.5703125" style="17" bestFit="1" customWidth="1"/>
    <col min="13" max="13" width="15.28515625" style="36" bestFit="1" customWidth="1"/>
    <col min="14" max="14" width="26.42578125" style="17" bestFit="1" customWidth="1"/>
    <col min="15" max="15" width="34.7109375" style="17" bestFit="1" customWidth="1"/>
    <col min="16" max="16" width="13" style="17"/>
    <col min="17" max="17" width="90.28515625" style="20" customWidth="1"/>
    <col min="18" max="18" width="32.5703125" style="40" bestFit="1" customWidth="1"/>
    <col min="19" max="19" width="12.5703125" style="14" bestFit="1" customWidth="1"/>
    <col min="20" max="16384" width="13" style="14"/>
  </cols>
  <sheetData>
    <row r="1" spans="1:22" ht="32.1">
      <c r="A1" s="38" t="s">
        <v>151</v>
      </c>
      <c r="B1" s="38" t="s">
        <v>152</v>
      </c>
      <c r="C1" s="38" t="s">
        <v>1</v>
      </c>
      <c r="D1" s="38" t="s">
        <v>2</v>
      </c>
      <c r="E1" s="37" t="s">
        <v>3</v>
      </c>
      <c r="F1" s="38" t="s">
        <v>4</v>
      </c>
      <c r="G1" s="38" t="s">
        <v>5</v>
      </c>
      <c r="H1" s="38" t="s">
        <v>6</v>
      </c>
      <c r="I1" s="107" t="s">
        <v>153</v>
      </c>
      <c r="J1" s="107" t="s">
        <v>144</v>
      </c>
      <c r="K1" s="37" t="s">
        <v>7</v>
      </c>
      <c r="L1" s="37" t="s">
        <v>8</v>
      </c>
      <c r="M1" s="37" t="s">
        <v>9</v>
      </c>
      <c r="N1" s="37" t="s">
        <v>10</v>
      </c>
      <c r="O1" s="37" t="s">
        <v>154</v>
      </c>
      <c r="P1" s="38" t="s">
        <v>11</v>
      </c>
      <c r="Q1" s="39" t="s">
        <v>155</v>
      </c>
      <c r="R1" s="39" t="s">
        <v>121</v>
      </c>
      <c r="S1" s="165" t="s">
        <v>10</v>
      </c>
    </row>
    <row r="2" spans="1:22" s="15" customFormat="1">
      <c r="A2" s="215" t="s">
        <v>156</v>
      </c>
      <c r="B2" s="216"/>
      <c r="C2" s="216"/>
      <c r="D2" s="216"/>
      <c r="E2" s="216"/>
      <c r="F2" s="216"/>
      <c r="G2" s="216"/>
      <c r="H2" s="216"/>
      <c r="I2" s="216"/>
      <c r="J2" s="216"/>
      <c r="K2" s="216"/>
      <c r="L2" s="216"/>
      <c r="M2" s="216"/>
      <c r="N2" s="216"/>
      <c r="O2" s="216"/>
      <c r="P2" s="216"/>
      <c r="Q2" s="216"/>
      <c r="R2" s="216"/>
      <c r="S2" s="214"/>
    </row>
    <row r="3" spans="1:22" ht="63.95">
      <c r="A3" s="213" t="s">
        <v>157</v>
      </c>
      <c r="B3" s="230">
        <v>2.1</v>
      </c>
      <c r="C3" s="213" t="s">
        <v>158</v>
      </c>
      <c r="D3" s="232" t="s">
        <v>159</v>
      </c>
      <c r="E3" s="22" t="s">
        <v>20</v>
      </c>
      <c r="F3" s="233" t="s">
        <v>160</v>
      </c>
      <c r="G3" s="26" t="s">
        <v>161</v>
      </c>
      <c r="H3" s="26" t="s">
        <v>162</v>
      </c>
      <c r="I3" s="265"/>
      <c r="J3" s="26"/>
      <c r="K3" s="22"/>
      <c r="M3" s="22"/>
      <c r="N3" s="22"/>
      <c r="O3" s="22"/>
      <c r="P3" s="35"/>
      <c r="Q3" s="14"/>
      <c r="R3" s="22"/>
      <c r="S3" s="22" t="s">
        <v>164</v>
      </c>
    </row>
    <row r="4" spans="1:22">
      <c r="A4" s="213"/>
      <c r="B4" s="230"/>
      <c r="C4" s="213"/>
      <c r="D4" s="232"/>
      <c r="E4" s="22" t="s">
        <v>109</v>
      </c>
      <c r="F4" s="233"/>
      <c r="G4" s="25" t="s">
        <v>165</v>
      </c>
      <c r="H4" s="26" t="s">
        <v>166</v>
      </c>
      <c r="I4" s="266"/>
      <c r="J4" s="26"/>
      <c r="K4" s="22"/>
      <c r="L4" s="22"/>
      <c r="M4" s="22"/>
      <c r="N4" s="22"/>
      <c r="O4" s="22"/>
      <c r="P4" s="35"/>
      <c r="Q4" s="22"/>
      <c r="R4" s="22"/>
      <c r="S4" s="22" t="s">
        <v>164</v>
      </c>
    </row>
    <row r="5" spans="1:22" ht="32.1">
      <c r="A5" s="213"/>
      <c r="B5" s="230"/>
      <c r="C5" s="213"/>
      <c r="D5" s="232"/>
      <c r="E5" s="22" t="s">
        <v>167</v>
      </c>
      <c r="F5" s="233"/>
      <c r="G5" s="25" t="s">
        <v>168</v>
      </c>
      <c r="H5" s="26" t="s">
        <v>169</v>
      </c>
      <c r="I5" s="266"/>
      <c r="J5" s="26"/>
      <c r="K5" s="22"/>
      <c r="L5" s="22"/>
      <c r="M5" s="22"/>
      <c r="N5" s="22"/>
      <c r="O5" s="22"/>
      <c r="P5" s="35"/>
      <c r="Q5" s="22"/>
      <c r="R5" s="22"/>
      <c r="S5" s="22" t="s">
        <v>164</v>
      </c>
    </row>
    <row r="6" spans="1:22">
      <c r="A6" s="213"/>
      <c r="B6" s="230"/>
      <c r="C6" s="213"/>
      <c r="D6" s="232"/>
      <c r="E6" s="22" t="s">
        <v>170</v>
      </c>
      <c r="F6" s="233"/>
      <c r="G6" s="25" t="s">
        <v>171</v>
      </c>
      <c r="H6" s="26" t="s">
        <v>172</v>
      </c>
      <c r="I6" s="266"/>
      <c r="J6" s="26"/>
      <c r="K6" s="22"/>
      <c r="L6" s="22"/>
      <c r="M6" s="22"/>
      <c r="N6" s="22"/>
      <c r="O6" s="22"/>
      <c r="P6" s="35"/>
      <c r="Q6" s="22"/>
      <c r="R6" s="22"/>
      <c r="S6" s="22" t="s">
        <v>164</v>
      </c>
    </row>
    <row r="7" spans="1:22">
      <c r="A7" s="213"/>
      <c r="B7" s="230"/>
      <c r="C7" s="213"/>
      <c r="D7" s="232"/>
      <c r="E7" s="22" t="s">
        <v>173</v>
      </c>
      <c r="F7" s="233"/>
      <c r="G7" s="25" t="s">
        <v>174</v>
      </c>
      <c r="H7" s="26" t="s">
        <v>175</v>
      </c>
      <c r="I7" s="266"/>
      <c r="J7" s="26"/>
      <c r="K7" s="22"/>
      <c r="L7" s="22"/>
      <c r="M7" s="22"/>
      <c r="N7" s="22"/>
      <c r="O7" s="22"/>
      <c r="P7" s="35"/>
      <c r="Q7" s="22"/>
      <c r="R7" s="22"/>
      <c r="S7" s="22" t="s">
        <v>164</v>
      </c>
    </row>
    <row r="8" spans="1:22" ht="32.1">
      <c r="A8" s="213"/>
      <c r="B8" s="230"/>
      <c r="C8" s="213"/>
      <c r="D8" s="232"/>
      <c r="E8" s="22" t="s">
        <v>176</v>
      </c>
      <c r="F8" s="233"/>
      <c r="G8" s="25" t="s">
        <v>177</v>
      </c>
      <c r="H8" s="14" t="s">
        <v>178</v>
      </c>
      <c r="I8" s="27"/>
      <c r="J8" s="14"/>
      <c r="K8" s="22"/>
      <c r="L8" s="22"/>
      <c r="M8" s="22"/>
      <c r="N8" s="22"/>
      <c r="O8" s="22"/>
      <c r="P8" s="35"/>
      <c r="Q8" s="22"/>
      <c r="R8" s="22"/>
      <c r="S8" s="22" t="s">
        <v>164</v>
      </c>
    </row>
    <row r="9" spans="1:22" ht="48">
      <c r="A9" s="21" t="s">
        <v>180</v>
      </c>
      <c r="B9" s="230"/>
      <c r="C9" s="213"/>
      <c r="D9" s="232"/>
      <c r="E9" s="22" t="s">
        <v>181</v>
      </c>
      <c r="F9" s="31" t="s">
        <v>182</v>
      </c>
      <c r="G9" s="30" t="s">
        <v>183</v>
      </c>
      <c r="H9" s="26" t="s">
        <v>184</v>
      </c>
      <c r="I9" s="94"/>
      <c r="J9" s="26"/>
      <c r="K9" s="22"/>
      <c r="L9" s="22"/>
      <c r="M9" s="22"/>
      <c r="N9" s="22"/>
      <c r="O9" s="22"/>
      <c r="P9" s="35"/>
      <c r="Q9" s="22"/>
      <c r="R9" s="22"/>
      <c r="S9" s="22" t="s">
        <v>164</v>
      </c>
    </row>
    <row r="10" spans="1:22" ht="32.1">
      <c r="A10" s="206" t="s">
        <v>186</v>
      </c>
      <c r="B10" s="230"/>
      <c r="C10" s="213"/>
      <c r="D10" s="232" t="s">
        <v>187</v>
      </c>
      <c r="E10" s="22" t="s">
        <v>188</v>
      </c>
      <c r="F10" s="233" t="s">
        <v>189</v>
      </c>
      <c r="G10" s="25" t="s">
        <v>190</v>
      </c>
      <c r="H10" s="26" t="s">
        <v>191</v>
      </c>
      <c r="I10" s="26"/>
      <c r="J10" s="26"/>
      <c r="K10" s="22"/>
      <c r="L10" s="22"/>
      <c r="M10" s="22"/>
      <c r="N10" s="22"/>
      <c r="O10" s="22"/>
      <c r="P10" s="35"/>
      <c r="Q10" s="22"/>
      <c r="R10" s="22"/>
      <c r="S10" s="22" t="s">
        <v>164</v>
      </c>
    </row>
    <row r="11" spans="1:22" ht="32.1">
      <c r="A11" s="208"/>
      <c r="B11" s="230"/>
      <c r="C11" s="213"/>
      <c r="D11" s="232"/>
      <c r="E11" s="22" t="s">
        <v>193</v>
      </c>
      <c r="F11" s="233"/>
      <c r="G11" s="25" t="s">
        <v>194</v>
      </c>
      <c r="H11" s="26" t="s">
        <v>195</v>
      </c>
      <c r="I11" s="26"/>
      <c r="J11" s="26"/>
      <c r="K11" s="22"/>
      <c r="L11" s="22"/>
      <c r="M11" s="22"/>
      <c r="N11" s="22"/>
      <c r="O11" s="22"/>
      <c r="P11" s="35"/>
      <c r="Q11" s="22"/>
      <c r="R11" s="22"/>
      <c r="S11" s="22" t="s">
        <v>164</v>
      </c>
    </row>
    <row r="12" spans="1:22" ht="128.1">
      <c r="A12" s="21" t="s">
        <v>197</v>
      </c>
      <c r="B12" s="230"/>
      <c r="C12" s="213"/>
      <c r="D12" s="35" t="s">
        <v>198</v>
      </c>
      <c r="E12" s="22" t="s">
        <v>199</v>
      </c>
      <c r="F12" s="31" t="s">
        <v>200</v>
      </c>
      <c r="G12" s="28" t="s">
        <v>201</v>
      </c>
      <c r="H12" s="28" t="s">
        <v>202</v>
      </c>
      <c r="I12" s="28"/>
      <c r="J12" s="28"/>
      <c r="K12" s="22"/>
      <c r="L12" s="22"/>
      <c r="M12" s="22"/>
      <c r="N12" s="22"/>
      <c r="O12" s="22"/>
      <c r="P12" s="35"/>
      <c r="Q12" s="22"/>
      <c r="R12" s="22"/>
      <c r="S12" s="22" t="s">
        <v>164</v>
      </c>
    </row>
    <row r="13" spans="1:22" ht="32.1">
      <c r="A13" s="21" t="s">
        <v>204</v>
      </c>
      <c r="B13" s="230"/>
      <c r="C13" s="213"/>
      <c r="D13" s="35" t="s">
        <v>187</v>
      </c>
      <c r="E13" s="22" t="s">
        <v>205</v>
      </c>
      <c r="F13" s="31" t="s">
        <v>206</v>
      </c>
      <c r="G13" s="28" t="s">
        <v>207</v>
      </c>
      <c r="H13" s="26" t="s">
        <v>208</v>
      </c>
      <c r="I13" s="26"/>
      <c r="J13" s="26"/>
      <c r="K13" s="22"/>
      <c r="L13" s="22"/>
      <c r="M13" s="22"/>
      <c r="N13" s="22"/>
      <c r="O13" s="22"/>
      <c r="P13" s="35"/>
      <c r="Q13" s="22"/>
      <c r="R13" s="22"/>
      <c r="S13" s="22" t="s">
        <v>209</v>
      </c>
    </row>
    <row r="14" spans="1:22" ht="48">
      <c r="A14" s="21" t="s">
        <v>210</v>
      </c>
      <c r="B14" s="230"/>
      <c r="C14" s="213"/>
      <c r="D14" s="35" t="s">
        <v>211</v>
      </c>
      <c r="E14" s="22" t="s">
        <v>212</v>
      </c>
      <c r="F14" s="31" t="s">
        <v>213</v>
      </c>
      <c r="G14" s="28" t="s">
        <v>214</v>
      </c>
      <c r="H14" s="26" t="s">
        <v>215</v>
      </c>
      <c r="I14" s="26"/>
      <c r="J14" s="26"/>
      <c r="K14" s="22"/>
      <c r="L14" s="22"/>
      <c r="M14" s="22"/>
      <c r="N14" s="22"/>
      <c r="O14" s="22"/>
      <c r="P14" s="35"/>
      <c r="Q14" s="22"/>
      <c r="R14" s="22"/>
      <c r="S14" s="22" t="s">
        <v>209</v>
      </c>
      <c r="T14" s="15"/>
      <c r="U14" s="15"/>
      <c r="V14" s="15"/>
    </row>
    <row r="15" spans="1:22" s="15" customFormat="1">
      <c r="A15" s="215" t="s">
        <v>216</v>
      </c>
      <c r="B15" s="216"/>
      <c r="C15" s="216"/>
      <c r="D15" s="216"/>
      <c r="E15" s="263"/>
      <c r="F15" s="263"/>
      <c r="G15" s="216"/>
      <c r="H15" s="263"/>
      <c r="I15" s="263"/>
      <c r="J15" s="263"/>
      <c r="K15" s="263"/>
      <c r="L15" s="263"/>
      <c r="M15" s="263"/>
      <c r="N15" s="263"/>
      <c r="O15" s="264"/>
      <c r="P15" s="264"/>
      <c r="Q15" s="263"/>
      <c r="R15" s="263"/>
      <c r="S15" s="220"/>
      <c r="T15" s="14"/>
      <c r="U15" s="14"/>
      <c r="V15" s="14"/>
    </row>
    <row r="16" spans="1:22">
      <c r="A16" s="273" t="s">
        <v>217</v>
      </c>
      <c r="B16" s="98"/>
      <c r="C16" s="205" t="s">
        <v>218</v>
      </c>
      <c r="D16" s="275" t="s">
        <v>219</v>
      </c>
      <c r="E16" s="22" t="s">
        <v>20</v>
      </c>
      <c r="F16" s="214" t="s">
        <v>218</v>
      </c>
      <c r="G16" s="77" t="s">
        <v>220</v>
      </c>
      <c r="H16" s="78" t="s">
        <v>221</v>
      </c>
      <c r="I16" s="78"/>
      <c r="J16" s="78"/>
      <c r="K16" s="53"/>
      <c r="L16" s="53"/>
      <c r="M16" s="53"/>
      <c r="N16" s="53"/>
      <c r="O16" s="53"/>
      <c r="P16" s="53"/>
      <c r="Q16" s="53"/>
      <c r="R16" s="53"/>
      <c r="S16" s="22" t="s">
        <v>209</v>
      </c>
    </row>
    <row r="17" spans="1:22" ht="32.1">
      <c r="A17" s="274"/>
      <c r="B17" s="102"/>
      <c r="C17" s="205"/>
      <c r="D17" s="276"/>
      <c r="E17" s="22" t="s">
        <v>109</v>
      </c>
      <c r="F17" s="214"/>
      <c r="G17" s="77" t="s">
        <v>222</v>
      </c>
      <c r="H17" s="78" t="s">
        <v>223</v>
      </c>
      <c r="I17" s="78"/>
      <c r="J17" s="78"/>
      <c r="K17" s="53"/>
      <c r="L17" s="53"/>
      <c r="M17" s="53"/>
      <c r="N17" s="53"/>
      <c r="O17" s="53"/>
      <c r="P17" s="53"/>
      <c r="Q17" s="53"/>
      <c r="R17" s="53"/>
      <c r="S17" s="22" t="s">
        <v>209</v>
      </c>
    </row>
    <row r="18" spans="1:22">
      <c r="A18" s="215" t="s">
        <v>224</v>
      </c>
      <c r="B18" s="216"/>
      <c r="C18" s="216"/>
      <c r="D18" s="216"/>
      <c r="E18" s="268"/>
      <c r="F18" s="268"/>
      <c r="G18" s="216"/>
      <c r="H18" s="268"/>
      <c r="I18" s="268"/>
      <c r="J18" s="268"/>
      <c r="K18" s="268"/>
      <c r="L18" s="268"/>
      <c r="M18" s="268"/>
      <c r="N18" s="268"/>
      <c r="O18" s="268"/>
      <c r="P18" s="268"/>
      <c r="Q18" s="268"/>
      <c r="R18" s="268"/>
      <c r="S18" s="226"/>
    </row>
    <row r="19" spans="1:22">
      <c r="A19" s="213" t="s">
        <v>225</v>
      </c>
      <c r="B19" s="230">
        <v>4</v>
      </c>
      <c r="C19" s="213" t="s">
        <v>226</v>
      </c>
      <c r="D19" s="232" t="s">
        <v>227</v>
      </c>
      <c r="E19" s="22" t="s">
        <v>20</v>
      </c>
      <c r="F19" s="233" t="s">
        <v>228</v>
      </c>
      <c r="G19" s="25" t="s">
        <v>229</v>
      </c>
      <c r="H19" s="28"/>
      <c r="I19" s="28"/>
      <c r="J19" s="28"/>
      <c r="K19" s="22"/>
      <c r="L19" s="22"/>
      <c r="M19" s="22"/>
      <c r="N19" s="22"/>
      <c r="O19" s="22"/>
      <c r="P19" s="35"/>
      <c r="Q19" s="22"/>
      <c r="R19" s="22"/>
      <c r="S19" s="22" t="s">
        <v>209</v>
      </c>
    </row>
    <row r="20" spans="1:22" ht="80.099999999999994">
      <c r="A20" s="213"/>
      <c r="B20" s="230"/>
      <c r="C20" s="213"/>
      <c r="D20" s="232"/>
      <c r="E20" s="22" t="s">
        <v>109</v>
      </c>
      <c r="F20" s="233"/>
      <c r="G20" s="34" t="s">
        <v>230</v>
      </c>
      <c r="H20" s="28" t="s">
        <v>231</v>
      </c>
      <c r="I20" s="28"/>
      <c r="J20" s="28"/>
      <c r="K20" s="22"/>
      <c r="L20" s="22"/>
      <c r="M20" s="22"/>
      <c r="N20" s="22"/>
      <c r="O20" s="22"/>
      <c r="P20" s="150"/>
      <c r="Q20" s="22"/>
      <c r="R20" s="22"/>
      <c r="S20" s="22" t="s">
        <v>164</v>
      </c>
    </row>
    <row r="21" spans="1:22" ht="32.1">
      <c r="A21" s="213"/>
      <c r="B21" s="230"/>
      <c r="C21" s="213"/>
      <c r="D21" s="232"/>
      <c r="E21" s="22" t="s">
        <v>167</v>
      </c>
      <c r="F21" s="233"/>
      <c r="G21" s="25" t="s">
        <v>233</v>
      </c>
      <c r="H21" s="28" t="s">
        <v>234</v>
      </c>
      <c r="I21" s="28"/>
      <c r="J21" s="28"/>
      <c r="K21" s="22"/>
      <c r="L21" s="22"/>
      <c r="M21" s="22"/>
      <c r="N21" s="22"/>
      <c r="O21" s="22"/>
      <c r="P21" s="150"/>
      <c r="Q21" s="22"/>
      <c r="R21" s="22"/>
      <c r="S21" s="22" t="s">
        <v>164</v>
      </c>
    </row>
    <row r="22" spans="1:22">
      <c r="A22" s="213" t="s">
        <v>236</v>
      </c>
      <c r="B22" s="230"/>
      <c r="C22" s="213"/>
      <c r="D22" s="35" t="s">
        <v>187</v>
      </c>
      <c r="E22" s="22" t="s">
        <v>170</v>
      </c>
      <c r="F22" s="233" t="s">
        <v>237</v>
      </c>
      <c r="G22" s="25" t="s">
        <v>238</v>
      </c>
      <c r="H22" s="28" t="s">
        <v>239</v>
      </c>
      <c r="I22" s="28"/>
      <c r="J22" s="28"/>
      <c r="K22" s="22"/>
      <c r="L22" s="22"/>
      <c r="M22" s="22"/>
      <c r="N22" s="22"/>
      <c r="O22" s="22"/>
      <c r="P22" s="150"/>
      <c r="Q22" s="22"/>
      <c r="R22" s="43"/>
      <c r="S22" s="22" t="s">
        <v>164</v>
      </c>
    </row>
    <row r="23" spans="1:22" ht="32.1">
      <c r="A23" s="213"/>
      <c r="B23" s="230"/>
      <c r="C23" s="213"/>
      <c r="D23" s="35" t="s">
        <v>187</v>
      </c>
      <c r="E23" s="22" t="s">
        <v>173</v>
      </c>
      <c r="F23" s="233"/>
      <c r="G23" s="25" t="s">
        <v>240</v>
      </c>
      <c r="H23" s="28" t="s">
        <v>241</v>
      </c>
      <c r="I23" s="28"/>
      <c r="J23" s="28"/>
      <c r="K23" s="22"/>
      <c r="L23" s="22"/>
      <c r="M23" s="22"/>
      <c r="N23" s="22"/>
      <c r="O23" s="22"/>
      <c r="P23" s="35"/>
      <c r="Q23" s="22"/>
      <c r="R23" s="22"/>
      <c r="S23" s="22" t="s">
        <v>164</v>
      </c>
    </row>
    <row r="24" spans="1:22" s="75" customFormat="1">
      <c r="A24" s="215" t="s">
        <v>242</v>
      </c>
      <c r="B24" s="216"/>
      <c r="C24" s="216"/>
      <c r="D24" s="216"/>
      <c r="E24" s="216"/>
      <c r="F24" s="216"/>
      <c r="G24" s="216"/>
      <c r="H24" s="216"/>
      <c r="I24" s="216"/>
      <c r="J24" s="216"/>
      <c r="K24" s="216"/>
      <c r="L24" s="216"/>
      <c r="M24" s="216"/>
      <c r="N24" s="216"/>
      <c r="O24" s="216"/>
      <c r="P24" s="216"/>
      <c r="Q24" s="216"/>
      <c r="R24" s="216"/>
      <c r="S24" s="214"/>
      <c r="T24" s="14"/>
      <c r="U24" s="14"/>
      <c r="V24" s="14"/>
    </row>
    <row r="25" spans="1:22" s="75" customFormat="1">
      <c r="A25" s="21"/>
      <c r="B25" s="151" t="s">
        <v>243</v>
      </c>
      <c r="C25" s="21" t="s">
        <v>244</v>
      </c>
      <c r="D25" s="35" t="s">
        <v>245</v>
      </c>
      <c r="E25" s="22" t="s">
        <v>20</v>
      </c>
      <c r="F25" s="31"/>
      <c r="G25" s="25" t="s">
        <v>246</v>
      </c>
      <c r="H25" s="26" t="s">
        <v>247</v>
      </c>
      <c r="I25" s="26"/>
      <c r="J25" s="26"/>
      <c r="K25" s="22"/>
      <c r="L25" s="22"/>
      <c r="M25" s="22"/>
      <c r="N25" s="22"/>
      <c r="O25" s="22"/>
      <c r="P25" s="35"/>
      <c r="Q25" s="22"/>
      <c r="R25" s="22"/>
      <c r="S25" s="22" t="s">
        <v>164</v>
      </c>
      <c r="T25" s="14"/>
      <c r="U25" s="14"/>
      <c r="V25" s="14"/>
    </row>
    <row r="26" spans="1:22" s="75" customFormat="1">
      <c r="A26" s="209" t="s">
        <v>248</v>
      </c>
      <c r="B26" s="210"/>
      <c r="C26" s="210"/>
      <c r="D26" s="210"/>
      <c r="E26" s="210"/>
      <c r="F26" s="210"/>
      <c r="G26" s="210"/>
      <c r="H26" s="210"/>
      <c r="I26" s="210"/>
      <c r="J26" s="210"/>
      <c r="K26" s="210"/>
      <c r="L26" s="210"/>
      <c r="M26" s="210"/>
      <c r="N26" s="210"/>
      <c r="O26" s="210"/>
      <c r="P26" s="210"/>
      <c r="Q26" s="210"/>
      <c r="R26" s="210"/>
      <c r="S26" s="214"/>
      <c r="T26" s="14"/>
      <c r="U26" s="14"/>
      <c r="V26" s="14"/>
    </row>
    <row r="27" spans="1:22" s="75" customFormat="1" ht="48">
      <c r="A27" s="213" t="s">
        <v>249</v>
      </c>
      <c r="B27" s="230" t="s">
        <v>243</v>
      </c>
      <c r="C27" s="213" t="s">
        <v>250</v>
      </c>
      <c r="D27" s="35" t="s">
        <v>245</v>
      </c>
      <c r="E27" s="22" t="s">
        <v>20</v>
      </c>
      <c r="F27" s="21" t="s">
        <v>251</v>
      </c>
      <c r="G27" s="25" t="s">
        <v>252</v>
      </c>
      <c r="H27" s="26" t="s">
        <v>253</v>
      </c>
      <c r="I27" s="26"/>
      <c r="J27" s="26"/>
      <c r="K27" s="22"/>
      <c r="L27" s="22"/>
      <c r="M27" s="22"/>
      <c r="N27" s="22"/>
      <c r="O27" s="22"/>
      <c r="P27" s="35"/>
      <c r="Q27" s="22"/>
      <c r="R27" s="22"/>
      <c r="S27" s="22" t="s">
        <v>164</v>
      </c>
      <c r="T27" s="14"/>
      <c r="U27" s="14"/>
      <c r="V27" s="14"/>
    </row>
    <row r="28" spans="1:22" ht="48">
      <c r="A28" s="213"/>
      <c r="B28" s="230"/>
      <c r="C28" s="213"/>
      <c r="D28" s="35" t="s">
        <v>254</v>
      </c>
      <c r="E28" s="22" t="s">
        <v>20</v>
      </c>
      <c r="F28" s="21" t="s">
        <v>255</v>
      </c>
      <c r="G28" s="25" t="s">
        <v>256</v>
      </c>
      <c r="H28" s="26" t="s">
        <v>257</v>
      </c>
      <c r="I28" s="26"/>
      <c r="J28" s="26"/>
      <c r="K28" s="22"/>
      <c r="L28" s="22"/>
      <c r="M28" s="22"/>
      <c r="N28" s="22"/>
      <c r="O28" s="22"/>
      <c r="P28" s="35"/>
      <c r="Q28" s="22"/>
      <c r="R28" s="22"/>
      <c r="S28" s="22" t="s">
        <v>164</v>
      </c>
    </row>
    <row r="29" spans="1:22" s="75" customFormat="1" ht="48">
      <c r="A29" s="213"/>
      <c r="B29" s="230"/>
      <c r="C29" s="213"/>
      <c r="D29" s="35" t="s">
        <v>258</v>
      </c>
      <c r="E29" s="22" t="s">
        <v>20</v>
      </c>
      <c r="F29" s="21" t="s">
        <v>259</v>
      </c>
      <c r="G29" s="25" t="s">
        <v>260</v>
      </c>
      <c r="H29" s="26" t="s">
        <v>261</v>
      </c>
      <c r="I29" s="26"/>
      <c r="J29" s="26"/>
      <c r="K29" s="22"/>
      <c r="L29" s="22"/>
      <c r="M29" s="22"/>
      <c r="N29" s="22"/>
      <c r="O29" s="22"/>
      <c r="P29" s="35"/>
      <c r="Q29" s="22"/>
      <c r="R29" s="22"/>
      <c r="S29" s="22" t="s">
        <v>164</v>
      </c>
      <c r="T29" s="14"/>
      <c r="U29" s="14"/>
      <c r="V29" s="14"/>
    </row>
    <row r="30" spans="1:22" s="75" customFormat="1" ht="48">
      <c r="A30" s="213"/>
      <c r="B30" s="230"/>
      <c r="C30" s="213"/>
      <c r="D30" s="35" t="s">
        <v>262</v>
      </c>
      <c r="E30" s="22" t="s">
        <v>20</v>
      </c>
      <c r="F30" s="21" t="s">
        <v>263</v>
      </c>
      <c r="G30" s="25" t="s">
        <v>264</v>
      </c>
      <c r="H30" s="26" t="s">
        <v>265</v>
      </c>
      <c r="I30" s="26"/>
      <c r="J30" s="26"/>
      <c r="K30" s="22"/>
      <c r="L30" s="22"/>
      <c r="M30" s="22"/>
      <c r="N30" s="22"/>
      <c r="O30" s="22"/>
      <c r="P30" s="35"/>
      <c r="Q30" s="22"/>
      <c r="R30" s="22"/>
      <c r="S30" s="22" t="s">
        <v>164</v>
      </c>
      <c r="T30" s="14"/>
      <c r="U30" s="14"/>
      <c r="V30" s="14"/>
    </row>
    <row r="31" spans="1:22" s="75" customFormat="1">
      <c r="A31" s="209" t="s">
        <v>266</v>
      </c>
      <c r="B31" s="210"/>
      <c r="C31" s="210"/>
      <c r="D31" s="210"/>
      <c r="E31" s="210"/>
      <c r="F31" s="210"/>
      <c r="G31" s="210"/>
      <c r="H31" s="210"/>
      <c r="I31" s="210"/>
      <c r="J31" s="210"/>
      <c r="K31" s="210"/>
      <c r="L31" s="210"/>
      <c r="M31" s="210"/>
      <c r="N31" s="210"/>
      <c r="O31" s="210"/>
      <c r="P31" s="210"/>
      <c r="Q31" s="210"/>
      <c r="R31" s="210"/>
      <c r="S31" s="214"/>
      <c r="T31" s="14"/>
      <c r="U31" s="14"/>
      <c r="V31" s="14"/>
    </row>
    <row r="32" spans="1:22" s="75" customFormat="1" ht="63.95">
      <c r="A32" s="206" t="s">
        <v>267</v>
      </c>
      <c r="B32" s="206" t="s">
        <v>243</v>
      </c>
      <c r="C32" s="206" t="s">
        <v>268</v>
      </c>
      <c r="D32" s="35" t="s">
        <v>269</v>
      </c>
      <c r="E32" s="22" t="s">
        <v>20</v>
      </c>
      <c r="F32" s="31" t="s">
        <v>270</v>
      </c>
      <c r="G32" s="25" t="str">
        <f>_xlfn.CONCAT(D32, " will approve the PR")</f>
        <v>SCM Head, Department Head &amp; CFO will approve the PR</v>
      </c>
      <c r="H32" s="26" t="str">
        <f>_xlfn.CONCAT("Confirm if ",D32," approved the PR")</f>
        <v>Confirm if SCM Head, Department Head &amp; CFO approved the PR</v>
      </c>
      <c r="I32" s="26"/>
      <c r="J32" s="26"/>
      <c r="K32" s="22"/>
      <c r="L32" s="22"/>
      <c r="M32" s="22"/>
      <c r="N32" s="22"/>
      <c r="O32" s="22"/>
      <c r="P32" s="35"/>
      <c r="Q32" s="22"/>
      <c r="R32" s="22"/>
      <c r="S32" s="22" t="s">
        <v>164</v>
      </c>
      <c r="T32" s="14"/>
      <c r="U32" s="14"/>
      <c r="V32" s="14"/>
    </row>
    <row r="33" spans="1:22" s="75" customFormat="1" ht="63.95">
      <c r="A33" s="207"/>
      <c r="B33" s="207"/>
      <c r="C33" s="207"/>
      <c r="D33" s="35" t="s">
        <v>269</v>
      </c>
      <c r="E33" s="22" t="s">
        <v>20</v>
      </c>
      <c r="F33" s="31" t="s">
        <v>271</v>
      </c>
      <c r="G33" s="25" t="str">
        <f t="shared" ref="G33:G43" si="0">_xlfn.CONCAT(D33, " will approve the PR")</f>
        <v>SCM Head, Department Head &amp; CFO will approve the PR</v>
      </c>
      <c r="H33" s="26" t="str">
        <f t="shared" ref="H33:H43" si="1">_xlfn.CONCAT("Confirm if ",D33," approved the PR")</f>
        <v>Confirm if SCM Head, Department Head &amp; CFO approved the PR</v>
      </c>
      <c r="I33" s="26"/>
      <c r="J33" s="26"/>
      <c r="K33" s="22"/>
      <c r="L33" s="22"/>
      <c r="M33" s="22"/>
      <c r="N33" s="22"/>
      <c r="O33" s="22"/>
      <c r="P33" s="35"/>
      <c r="Q33" s="22"/>
      <c r="R33" s="22"/>
      <c r="S33" s="22" t="s">
        <v>164</v>
      </c>
      <c r="T33" s="14"/>
      <c r="U33" s="14"/>
      <c r="V33" s="14"/>
    </row>
    <row r="34" spans="1:22" s="75" customFormat="1" ht="63.95">
      <c r="A34" s="207"/>
      <c r="B34" s="207"/>
      <c r="C34" s="207"/>
      <c r="D34" s="35" t="s">
        <v>272</v>
      </c>
      <c r="E34" s="22" t="s">
        <v>20</v>
      </c>
      <c r="F34" s="21" t="s">
        <v>273</v>
      </c>
      <c r="G34" s="25" t="str">
        <f t="shared" si="0"/>
        <v>SCM Head, Department Head, FPA &amp; CFO will approve the PR</v>
      </c>
      <c r="H34" s="26" t="str">
        <f t="shared" si="1"/>
        <v>Confirm if SCM Head, Department Head, FPA &amp; CFO approved the PR</v>
      </c>
      <c r="I34" s="26"/>
      <c r="J34" s="26"/>
      <c r="K34" s="22"/>
      <c r="L34" s="22"/>
      <c r="M34" s="22"/>
      <c r="N34" s="22"/>
      <c r="O34" s="22"/>
      <c r="P34" s="35"/>
      <c r="Q34" s="22"/>
      <c r="R34" s="22"/>
      <c r="S34" s="22" t="s">
        <v>164</v>
      </c>
      <c r="T34" s="14"/>
      <c r="U34" s="14"/>
      <c r="V34" s="14"/>
    </row>
    <row r="35" spans="1:22" s="75" customFormat="1" ht="63.95">
      <c r="A35" s="207"/>
      <c r="B35" s="207"/>
      <c r="C35" s="207"/>
      <c r="D35" s="35" t="s">
        <v>274</v>
      </c>
      <c r="E35" s="22" t="s">
        <v>20</v>
      </c>
      <c r="F35" s="21" t="s">
        <v>275</v>
      </c>
      <c r="G35" s="25" t="str">
        <f t="shared" si="0"/>
        <v>SCM Head, Department Head &amp; FPA will approve the PR</v>
      </c>
      <c r="H35" s="26" t="str">
        <f t="shared" si="1"/>
        <v>Confirm if SCM Head, Department Head &amp; FPA approved the PR</v>
      </c>
      <c r="I35" s="26"/>
      <c r="J35" s="26"/>
      <c r="K35" s="22"/>
      <c r="L35" s="22"/>
      <c r="M35" s="22"/>
      <c r="N35" s="22"/>
      <c r="O35" s="22"/>
      <c r="P35" s="35"/>
      <c r="Q35" s="22"/>
      <c r="R35" s="22"/>
      <c r="S35" s="22" t="s">
        <v>164</v>
      </c>
      <c r="T35" s="14"/>
      <c r="U35" s="14"/>
      <c r="V35" s="14"/>
    </row>
    <row r="36" spans="1:22" s="75" customFormat="1" ht="63.95">
      <c r="A36" s="207"/>
      <c r="B36" s="207"/>
      <c r="C36" s="207"/>
      <c r="D36" s="35" t="s">
        <v>276</v>
      </c>
      <c r="E36" s="22" t="s">
        <v>20</v>
      </c>
      <c r="F36" s="21" t="s">
        <v>277</v>
      </c>
      <c r="G36" s="25" t="str">
        <f t="shared" si="0"/>
        <v>SCM Head, Department Head &amp; Corporate Controller will approve the PR</v>
      </c>
      <c r="H36" s="26" t="str">
        <f t="shared" si="1"/>
        <v>Confirm if SCM Head, Department Head &amp; Corporate Controller approved the PR</v>
      </c>
      <c r="I36" s="26"/>
      <c r="J36" s="26"/>
      <c r="K36" s="22"/>
      <c r="L36" s="22"/>
      <c r="M36" s="22"/>
      <c r="N36" s="22"/>
      <c r="O36" s="22"/>
      <c r="P36" s="35"/>
      <c r="Q36" s="22"/>
      <c r="R36" s="22"/>
      <c r="S36" s="22" t="s">
        <v>164</v>
      </c>
      <c r="T36" s="14"/>
      <c r="U36" s="14"/>
      <c r="V36" s="14"/>
    </row>
    <row r="37" spans="1:22" s="75" customFormat="1" ht="63.95">
      <c r="A37" s="207"/>
      <c r="B37" s="207"/>
      <c r="C37" s="207"/>
      <c r="D37" s="35" t="s">
        <v>278</v>
      </c>
      <c r="E37" s="22" t="s">
        <v>20</v>
      </c>
      <c r="F37" s="21" t="s">
        <v>279</v>
      </c>
      <c r="G37" s="25" t="str">
        <f t="shared" si="0"/>
        <v>SCM Head, Department Head, Corporate Controller &amp; CFO will approve the PR</v>
      </c>
      <c r="H37" s="26" t="str">
        <f t="shared" si="1"/>
        <v>Confirm if SCM Head, Department Head, Corporate Controller &amp; CFO approved the PR</v>
      </c>
      <c r="I37" s="26"/>
      <c r="J37" s="26"/>
      <c r="K37" s="22"/>
      <c r="L37" s="22"/>
      <c r="M37" s="22"/>
      <c r="N37" s="22"/>
      <c r="O37" s="22"/>
      <c r="P37" s="35"/>
      <c r="Q37" s="22"/>
      <c r="R37" s="22"/>
      <c r="S37" s="22" t="s">
        <v>164</v>
      </c>
      <c r="T37" s="14"/>
      <c r="U37" s="14"/>
      <c r="V37" s="14"/>
    </row>
    <row r="38" spans="1:22" s="75" customFormat="1" ht="63.95">
      <c r="A38" s="207"/>
      <c r="B38" s="207"/>
      <c r="C38" s="207"/>
      <c r="D38" s="35" t="s">
        <v>280</v>
      </c>
      <c r="E38" s="22" t="s">
        <v>20</v>
      </c>
      <c r="F38" s="21" t="s">
        <v>281</v>
      </c>
      <c r="G38" s="25" t="str">
        <f t="shared" si="0"/>
        <v>SCM Head, DepartmentHead, COO &amp; CFO will approve the PR</v>
      </c>
      <c r="H38" s="26" t="str">
        <f t="shared" si="1"/>
        <v>Confirm if SCM Head, DepartmentHead, COO &amp; CFO approved the PR</v>
      </c>
      <c r="I38" s="26"/>
      <c r="J38" s="26"/>
      <c r="K38" s="22"/>
      <c r="L38" s="22"/>
      <c r="M38" s="22"/>
      <c r="N38" s="22"/>
      <c r="O38" s="22"/>
      <c r="P38" s="35"/>
      <c r="Q38" s="22"/>
      <c r="R38" s="22"/>
      <c r="S38" s="22" t="s">
        <v>164</v>
      </c>
      <c r="T38" s="14"/>
      <c r="U38" s="14"/>
      <c r="V38" s="14"/>
    </row>
    <row r="39" spans="1:22" s="75" customFormat="1" ht="63.95">
      <c r="A39" s="207"/>
      <c r="B39" s="207"/>
      <c r="C39" s="207"/>
      <c r="D39" s="35" t="s">
        <v>282</v>
      </c>
      <c r="E39" s="22" t="s">
        <v>20</v>
      </c>
      <c r="F39" s="21" t="s">
        <v>283</v>
      </c>
      <c r="G39" s="25" t="str">
        <f t="shared" si="0"/>
        <v>SCM Head, Department Head &amp; COO will approve the PR</v>
      </c>
      <c r="H39" s="26" t="str">
        <f t="shared" si="1"/>
        <v>Confirm if SCM Head, Department Head &amp; COO approved the PR</v>
      </c>
      <c r="I39" s="26"/>
      <c r="J39" s="26"/>
      <c r="K39" s="22"/>
      <c r="L39" s="22"/>
      <c r="M39" s="22"/>
      <c r="N39" s="22"/>
      <c r="O39" s="22"/>
      <c r="P39" s="35"/>
      <c r="Q39" s="22"/>
      <c r="R39" s="22"/>
      <c r="S39" s="22" t="s">
        <v>164</v>
      </c>
      <c r="T39" s="14"/>
      <c r="U39" s="14"/>
      <c r="V39" s="14"/>
    </row>
    <row r="40" spans="1:22" s="75" customFormat="1" ht="63.95">
      <c r="A40" s="207"/>
      <c r="B40" s="207"/>
      <c r="C40" s="207"/>
      <c r="D40" s="35" t="s">
        <v>284</v>
      </c>
      <c r="E40" s="22" t="s">
        <v>20</v>
      </c>
      <c r="F40" s="21" t="s">
        <v>285</v>
      </c>
      <c r="G40" s="25" t="str">
        <f t="shared" si="0"/>
        <v>SCM Head, Department Head, FPA, Corporate Controller &amp; CFO will approve the PR</v>
      </c>
      <c r="H40" s="26" t="str">
        <f t="shared" si="1"/>
        <v>Confirm if SCM Head, Department Head, FPA, Corporate Controller &amp; CFO approved the PR</v>
      </c>
      <c r="I40" s="26"/>
      <c r="J40" s="26"/>
      <c r="K40" s="22"/>
      <c r="L40" s="22"/>
      <c r="M40" s="22"/>
      <c r="N40" s="22"/>
      <c r="O40" s="22"/>
      <c r="P40" s="35"/>
      <c r="Q40" s="22"/>
      <c r="R40" s="22"/>
      <c r="S40" s="22" t="s">
        <v>164</v>
      </c>
      <c r="T40" s="14"/>
      <c r="U40" s="14"/>
      <c r="V40" s="14"/>
    </row>
    <row r="41" spans="1:22" s="75" customFormat="1" ht="63.95">
      <c r="A41" s="207"/>
      <c r="B41" s="207"/>
      <c r="C41" s="207"/>
      <c r="D41" s="35" t="s">
        <v>286</v>
      </c>
      <c r="E41" s="22" t="s">
        <v>20</v>
      </c>
      <c r="F41" s="31" t="s">
        <v>287</v>
      </c>
      <c r="G41" s="25" t="str">
        <f t="shared" si="0"/>
        <v>SCM Head, Department Head, FPA &amp; Corporate Controller will approve the PR</v>
      </c>
      <c r="H41" s="26" t="str">
        <f t="shared" si="1"/>
        <v>Confirm if SCM Head, Department Head, FPA &amp; Corporate Controller approved the PR</v>
      </c>
      <c r="I41" s="26"/>
      <c r="J41" s="26"/>
      <c r="K41" s="22"/>
      <c r="L41" s="22"/>
      <c r="M41" s="22"/>
      <c r="N41" s="22"/>
      <c r="O41" s="22"/>
      <c r="P41" s="35"/>
      <c r="Q41" s="22"/>
      <c r="R41" s="22"/>
      <c r="S41" s="22" t="s">
        <v>164</v>
      </c>
      <c r="T41" s="14"/>
      <c r="U41" s="14"/>
      <c r="V41" s="14"/>
    </row>
    <row r="42" spans="1:22" s="75" customFormat="1" ht="63.95">
      <c r="A42" s="207"/>
      <c r="B42" s="207"/>
      <c r="C42" s="207"/>
      <c r="D42" s="35" t="s">
        <v>288</v>
      </c>
      <c r="E42" s="22" t="s">
        <v>20</v>
      </c>
      <c r="F42" s="31" t="s">
        <v>289</v>
      </c>
      <c r="G42" s="25" t="str">
        <f t="shared" si="0"/>
        <v>SCM Head, Department Head, FPA, COO, &amp; CFO will approve the PR</v>
      </c>
      <c r="H42" s="26" t="str">
        <f t="shared" si="1"/>
        <v>Confirm if SCM Head, Department Head, FPA, COO, &amp; CFO approved the PR</v>
      </c>
      <c r="I42" s="26"/>
      <c r="J42" s="26"/>
      <c r="K42" s="22"/>
      <c r="L42" s="22"/>
      <c r="M42" s="22"/>
      <c r="N42" s="22"/>
      <c r="O42" s="22"/>
      <c r="P42" s="35"/>
      <c r="Q42" s="22"/>
      <c r="R42" s="22"/>
      <c r="S42" s="22" t="s">
        <v>164</v>
      </c>
      <c r="T42" s="14"/>
      <c r="U42" s="14"/>
      <c r="V42" s="14"/>
    </row>
    <row r="43" spans="1:22" s="75" customFormat="1" ht="63.95">
      <c r="A43" s="208"/>
      <c r="B43" s="208"/>
      <c r="C43" s="208"/>
      <c r="D43" s="35" t="s">
        <v>290</v>
      </c>
      <c r="E43" s="22" t="s">
        <v>20</v>
      </c>
      <c r="F43" s="21" t="s">
        <v>291</v>
      </c>
      <c r="G43" s="25" t="str">
        <f t="shared" si="0"/>
        <v>SCM Head, Department Head, FPA &amp; COO will approve the PR</v>
      </c>
      <c r="H43" s="26" t="str">
        <f t="shared" si="1"/>
        <v>Confirm if SCM Head, Department Head, FPA &amp; COO approved the PR</v>
      </c>
      <c r="I43" s="26"/>
      <c r="J43" s="26"/>
      <c r="K43" s="22"/>
      <c r="L43" s="22"/>
      <c r="M43" s="22"/>
      <c r="N43" s="22"/>
      <c r="O43" s="22"/>
      <c r="P43" s="35"/>
      <c r="Q43" s="22"/>
      <c r="R43" s="22"/>
      <c r="S43" s="22" t="s">
        <v>164</v>
      </c>
      <c r="T43" s="14"/>
      <c r="U43" s="14"/>
      <c r="V43" s="14"/>
    </row>
    <row r="44" spans="1:22" s="75" customFormat="1">
      <c r="A44" s="209" t="s">
        <v>292</v>
      </c>
      <c r="B44" s="219"/>
      <c r="C44" s="219"/>
      <c r="D44" s="219"/>
      <c r="E44" s="219"/>
      <c r="F44" s="219"/>
      <c r="G44" s="219"/>
      <c r="H44" s="219"/>
      <c r="I44" s="219"/>
      <c r="J44" s="219"/>
      <c r="K44" s="219"/>
      <c r="L44" s="219"/>
      <c r="M44" s="219"/>
      <c r="N44" s="219"/>
      <c r="O44" s="219"/>
      <c r="P44" s="219"/>
      <c r="Q44" s="219"/>
      <c r="R44" s="219"/>
      <c r="S44" s="220"/>
      <c r="T44" s="14"/>
      <c r="U44" s="14"/>
      <c r="V44" s="14"/>
    </row>
    <row r="45" spans="1:22" s="75" customFormat="1" ht="32.1">
      <c r="A45" s="206" t="s">
        <v>293</v>
      </c>
      <c r="B45" s="206"/>
      <c r="C45" s="234" t="s">
        <v>294</v>
      </c>
      <c r="D45" s="227" t="s">
        <v>295</v>
      </c>
      <c r="E45" s="22" t="s">
        <v>20</v>
      </c>
      <c r="F45" s="234" t="s">
        <v>294</v>
      </c>
      <c r="G45" s="25" t="s">
        <v>296</v>
      </c>
      <c r="H45" s="26" t="s">
        <v>297</v>
      </c>
      <c r="I45" s="26"/>
      <c r="J45" s="26"/>
      <c r="K45" s="22"/>
      <c r="L45" s="22"/>
      <c r="M45" s="22"/>
      <c r="N45" s="22"/>
      <c r="O45" s="22"/>
      <c r="P45" s="35"/>
      <c r="Q45" s="22"/>
      <c r="R45" s="22"/>
      <c r="S45" s="166" t="s">
        <v>164</v>
      </c>
      <c r="T45" s="14"/>
      <c r="U45" s="14"/>
      <c r="V45" s="14"/>
    </row>
    <row r="46" spans="1:22">
      <c r="A46" s="207"/>
      <c r="B46" s="207"/>
      <c r="C46" s="242"/>
      <c r="D46" s="228"/>
      <c r="E46" s="22" t="s">
        <v>109</v>
      </c>
      <c r="F46" s="242"/>
      <c r="G46" s="25" t="s">
        <v>298</v>
      </c>
      <c r="H46" s="26" t="s">
        <v>299</v>
      </c>
      <c r="I46" s="26"/>
      <c r="J46" s="26"/>
      <c r="K46" s="22"/>
      <c r="L46" s="22"/>
      <c r="M46" s="22"/>
      <c r="N46" s="22"/>
      <c r="O46" s="22"/>
      <c r="P46" s="35"/>
      <c r="Q46" s="22"/>
      <c r="R46" s="22"/>
      <c r="S46" s="166" t="s">
        <v>164</v>
      </c>
    </row>
    <row r="47" spans="1:22">
      <c r="A47" s="207"/>
      <c r="B47" s="207"/>
      <c r="C47" s="242"/>
      <c r="D47" s="228"/>
      <c r="E47" s="51" t="s">
        <v>167</v>
      </c>
      <c r="F47" s="242"/>
      <c r="G47" s="79" t="s">
        <v>300</v>
      </c>
      <c r="H47" s="80" t="s">
        <v>301</v>
      </c>
      <c r="I47" s="80"/>
      <c r="J47" s="80"/>
      <c r="K47" s="51"/>
      <c r="L47" s="51"/>
      <c r="M47" s="51"/>
      <c r="N47" s="51"/>
      <c r="O47" s="51"/>
      <c r="P47" s="47"/>
      <c r="Q47" s="51"/>
      <c r="R47" s="51"/>
      <c r="S47" s="167" t="s">
        <v>164</v>
      </c>
    </row>
    <row r="48" spans="1:22" ht="32.1">
      <c r="A48" s="208"/>
      <c r="B48" s="208"/>
      <c r="C48" s="235"/>
      <c r="D48" s="248"/>
      <c r="E48" s="22" t="s">
        <v>170</v>
      </c>
      <c r="F48" s="243"/>
      <c r="G48" s="25" t="s">
        <v>302</v>
      </c>
      <c r="H48" s="26" t="s">
        <v>303</v>
      </c>
      <c r="I48" s="26"/>
      <c r="J48" s="26"/>
      <c r="K48" s="22"/>
      <c r="L48" s="22"/>
      <c r="M48" s="22"/>
      <c r="N48" s="22"/>
      <c r="O48" s="22"/>
      <c r="P48" s="35"/>
      <c r="Q48" s="22"/>
      <c r="R48" s="22"/>
      <c r="S48" s="166" t="s">
        <v>164</v>
      </c>
    </row>
    <row r="49" spans="1:22">
      <c r="A49" s="218" t="s">
        <v>304</v>
      </c>
      <c r="B49" s="244"/>
      <c r="C49" s="244"/>
      <c r="D49" s="244"/>
      <c r="E49" s="244"/>
      <c r="F49" s="244"/>
      <c r="G49" s="244"/>
      <c r="H49" s="244"/>
      <c r="I49" s="244"/>
      <c r="J49" s="244"/>
      <c r="K49" s="244"/>
      <c r="L49" s="244"/>
      <c r="M49" s="244"/>
      <c r="N49" s="244"/>
      <c r="O49" s="244"/>
      <c r="P49" s="244"/>
      <c r="Q49" s="244"/>
      <c r="R49" s="244"/>
      <c r="S49" s="245"/>
    </row>
    <row r="50" spans="1:22" ht="32.1">
      <c r="A50" s="213" t="s">
        <v>293</v>
      </c>
      <c r="B50" s="206" t="s">
        <v>243</v>
      </c>
      <c r="C50" s="249" t="s">
        <v>305</v>
      </c>
      <c r="D50" s="232" t="s">
        <v>227</v>
      </c>
      <c r="E50" s="95" t="s">
        <v>20</v>
      </c>
      <c r="F50" s="233" t="s">
        <v>305</v>
      </c>
      <c r="G50" s="89" t="s">
        <v>306</v>
      </c>
      <c r="H50" s="26" t="s">
        <v>307</v>
      </c>
      <c r="I50" s="26"/>
      <c r="J50" s="26"/>
      <c r="K50" s="22"/>
      <c r="L50" s="22"/>
      <c r="M50" s="22"/>
      <c r="N50" s="22"/>
      <c r="O50" s="22"/>
      <c r="P50" s="35"/>
      <c r="Q50" s="22"/>
      <c r="R50" s="22"/>
      <c r="S50" s="22" t="s">
        <v>164</v>
      </c>
    </row>
    <row r="51" spans="1:22" ht="32.1">
      <c r="A51" s="213"/>
      <c r="B51" s="208"/>
      <c r="C51" s="249"/>
      <c r="D51" s="232"/>
      <c r="E51" s="95" t="s">
        <v>109</v>
      </c>
      <c r="F51" s="233"/>
      <c r="G51" s="96" t="s">
        <v>308</v>
      </c>
      <c r="H51" s="80" t="s">
        <v>309</v>
      </c>
      <c r="I51" s="80"/>
      <c r="J51" s="80"/>
      <c r="K51" s="22"/>
      <c r="L51" s="22"/>
      <c r="M51" s="22"/>
      <c r="N51" s="22"/>
      <c r="O51" s="22"/>
      <c r="P51" s="35"/>
      <c r="Q51" s="22"/>
      <c r="R51" s="22"/>
      <c r="S51" s="51" t="s">
        <v>164</v>
      </c>
    </row>
    <row r="52" spans="1:22">
      <c r="A52" s="224" t="s">
        <v>310</v>
      </c>
      <c r="B52" s="244"/>
      <c r="C52" s="244"/>
      <c r="D52" s="246"/>
      <c r="E52" s="244"/>
      <c r="F52" s="246"/>
      <c r="G52" s="247"/>
      <c r="H52" s="247"/>
      <c r="I52" s="244"/>
      <c r="J52" s="244"/>
      <c r="K52" s="244"/>
      <c r="L52" s="244"/>
      <c r="M52" s="244"/>
      <c r="N52" s="244"/>
      <c r="O52" s="244"/>
      <c r="P52" s="244"/>
      <c r="Q52" s="244"/>
      <c r="R52" s="244"/>
      <c r="S52" s="205"/>
    </row>
    <row r="53" spans="1:22" ht="32.1">
      <c r="A53" s="206" t="s">
        <v>311</v>
      </c>
      <c r="B53" s="206">
        <v>4</v>
      </c>
      <c r="C53" s="234" t="s">
        <v>312</v>
      </c>
      <c r="D53" s="227" t="s">
        <v>313</v>
      </c>
      <c r="E53" s="22" t="s">
        <v>20</v>
      </c>
      <c r="F53" s="234" t="s">
        <v>312</v>
      </c>
      <c r="G53" s="93" t="s">
        <v>584</v>
      </c>
      <c r="H53" s="94" t="s">
        <v>585</v>
      </c>
      <c r="I53" s="94"/>
      <c r="J53" s="94"/>
      <c r="K53" s="22"/>
      <c r="L53" s="22"/>
      <c r="M53" s="22"/>
      <c r="N53" s="22"/>
      <c r="O53" s="22"/>
      <c r="P53" s="35"/>
      <c r="Q53" s="22"/>
      <c r="R53" s="22"/>
      <c r="S53" s="168" t="s">
        <v>209</v>
      </c>
    </row>
    <row r="54" spans="1:22" ht="32.1">
      <c r="A54" s="207"/>
      <c r="B54" s="207"/>
      <c r="C54" s="242"/>
      <c r="D54" s="228"/>
      <c r="E54" s="22" t="s">
        <v>109</v>
      </c>
      <c r="F54" s="242"/>
      <c r="G54" s="25" t="s">
        <v>586</v>
      </c>
      <c r="H54" s="26" t="s">
        <v>587</v>
      </c>
      <c r="I54" s="26"/>
      <c r="J54" s="26"/>
      <c r="K54" s="22"/>
      <c r="L54" s="22"/>
      <c r="M54" s="22"/>
      <c r="N54" s="22"/>
      <c r="O54" s="22"/>
      <c r="P54" s="35"/>
      <c r="Q54" s="22"/>
      <c r="R54" s="22"/>
      <c r="S54" s="166" t="s">
        <v>164</v>
      </c>
    </row>
    <row r="55" spans="1:22">
      <c r="A55" s="207"/>
      <c r="B55" s="207"/>
      <c r="C55" s="242"/>
      <c r="D55" s="228"/>
      <c r="E55" s="22" t="s">
        <v>167</v>
      </c>
      <c r="F55" s="242"/>
      <c r="G55" s="25" t="s">
        <v>588</v>
      </c>
      <c r="H55" s="26" t="s">
        <v>589</v>
      </c>
      <c r="I55" s="26"/>
      <c r="J55" s="26"/>
      <c r="K55" s="22"/>
      <c r="L55" s="22"/>
      <c r="M55" s="22"/>
      <c r="N55" s="22"/>
      <c r="O55" s="22"/>
      <c r="P55" s="35"/>
      <c r="Q55" s="22"/>
      <c r="R55" s="22"/>
      <c r="S55" s="166" t="s">
        <v>164</v>
      </c>
    </row>
    <row r="56" spans="1:22" ht="32.1">
      <c r="A56" s="208"/>
      <c r="B56" s="208"/>
      <c r="C56" s="235"/>
      <c r="D56" s="229"/>
      <c r="E56" s="22" t="s">
        <v>170</v>
      </c>
      <c r="F56" s="235"/>
      <c r="G56" s="25" t="s">
        <v>590</v>
      </c>
      <c r="H56" s="26" t="s">
        <v>591</v>
      </c>
      <c r="I56" s="26"/>
      <c r="J56" s="26"/>
      <c r="K56" s="22"/>
      <c r="L56" s="22"/>
      <c r="M56" s="22"/>
      <c r="N56" s="22"/>
      <c r="O56" s="22"/>
      <c r="P56" s="35"/>
      <c r="Q56" s="22"/>
      <c r="R56" s="22"/>
      <c r="S56" s="166" t="s">
        <v>164</v>
      </c>
    </row>
    <row r="57" spans="1:22">
      <c r="A57" s="215" t="s">
        <v>320</v>
      </c>
      <c r="B57" s="216"/>
      <c r="C57" s="216"/>
      <c r="D57" s="216"/>
      <c r="E57" s="216"/>
      <c r="F57" s="216"/>
      <c r="G57" s="216"/>
      <c r="H57" s="216"/>
      <c r="I57" s="216"/>
      <c r="J57" s="216"/>
      <c r="K57" s="216"/>
      <c r="L57" s="216"/>
      <c r="M57" s="216"/>
      <c r="N57" s="216"/>
      <c r="O57" s="216"/>
      <c r="P57" s="216"/>
      <c r="Q57" s="216"/>
      <c r="R57" s="216"/>
      <c r="S57" s="217"/>
    </row>
    <row r="58" spans="1:22">
      <c r="A58" s="21" t="s">
        <v>321</v>
      </c>
      <c r="B58" s="21"/>
      <c r="C58" s="21" t="s">
        <v>322</v>
      </c>
      <c r="D58" s="35"/>
      <c r="E58" s="22" t="s">
        <v>20</v>
      </c>
      <c r="F58" s="31"/>
      <c r="G58" s="25" t="s">
        <v>323</v>
      </c>
      <c r="H58" s="26" t="s">
        <v>324</v>
      </c>
      <c r="I58" s="26"/>
      <c r="J58" s="26"/>
      <c r="K58" s="22"/>
      <c r="L58" s="22"/>
      <c r="M58" s="22"/>
      <c r="N58" s="22"/>
      <c r="O58" s="22"/>
      <c r="P58" s="35"/>
      <c r="Q58" s="22"/>
      <c r="R58" s="22"/>
      <c r="S58" s="166" t="s">
        <v>209</v>
      </c>
    </row>
    <row r="59" spans="1:22">
      <c r="A59" s="218" t="s">
        <v>325</v>
      </c>
      <c r="B59" s="219"/>
      <c r="C59" s="219"/>
      <c r="D59" s="219"/>
      <c r="E59" s="219"/>
      <c r="F59" s="219"/>
      <c r="G59" s="219"/>
      <c r="H59" s="219"/>
      <c r="I59" s="219"/>
      <c r="J59" s="219"/>
      <c r="K59" s="219"/>
      <c r="L59" s="219"/>
      <c r="M59" s="219"/>
      <c r="N59" s="219"/>
      <c r="O59" s="219"/>
      <c r="P59" s="219"/>
      <c r="Q59" s="219"/>
      <c r="R59" s="219"/>
      <c r="S59" s="220"/>
      <c r="T59" s="61"/>
      <c r="U59" s="61"/>
      <c r="V59" s="61"/>
    </row>
    <row r="60" spans="1:22" ht="32.1">
      <c r="A60" s="205" t="s">
        <v>326</v>
      </c>
      <c r="B60" s="205"/>
      <c r="C60" s="205" t="s">
        <v>327</v>
      </c>
      <c r="D60" s="147" t="s">
        <v>328</v>
      </c>
      <c r="E60" s="22" t="s">
        <v>20</v>
      </c>
      <c r="F60" s="152" t="s">
        <v>329</v>
      </c>
      <c r="G60" s="30" t="s">
        <v>330</v>
      </c>
      <c r="H60" s="53"/>
      <c r="I60" s="53"/>
      <c r="J60" s="53"/>
      <c r="K60" s="53"/>
      <c r="L60" s="53"/>
      <c r="M60" s="53"/>
      <c r="N60" s="53"/>
      <c r="O60" s="53"/>
      <c r="P60" s="53"/>
      <c r="Q60" s="53"/>
      <c r="R60" s="53"/>
      <c r="S60" s="166" t="s">
        <v>209</v>
      </c>
    </row>
    <row r="61" spans="1:22">
      <c r="A61" s="205"/>
      <c r="B61" s="205"/>
      <c r="C61" s="205"/>
      <c r="D61" s="170" t="s">
        <v>331</v>
      </c>
      <c r="E61" s="22" t="s">
        <v>109</v>
      </c>
      <c r="F61" s="152" t="s">
        <v>332</v>
      </c>
      <c r="G61" s="30" t="s">
        <v>333</v>
      </c>
      <c r="H61" s="53"/>
      <c r="I61" s="53"/>
      <c r="J61" s="53"/>
      <c r="K61" s="53"/>
      <c r="L61" s="53"/>
      <c r="M61" s="53"/>
      <c r="N61" s="53"/>
      <c r="O61" s="53"/>
      <c r="P61" s="53"/>
      <c r="Q61" s="53"/>
      <c r="R61" s="53"/>
      <c r="S61" s="166" t="s">
        <v>209</v>
      </c>
    </row>
    <row r="62" spans="1:22">
      <c r="A62" s="205"/>
      <c r="B62" s="205"/>
      <c r="C62" s="205"/>
      <c r="D62" s="170" t="s">
        <v>334</v>
      </c>
      <c r="E62" s="22" t="s">
        <v>167</v>
      </c>
      <c r="F62" s="152" t="s">
        <v>335</v>
      </c>
      <c r="G62" s="30" t="s">
        <v>336</v>
      </c>
      <c r="H62" s="53"/>
      <c r="I62" s="53"/>
      <c r="J62" s="53"/>
      <c r="K62" s="53"/>
      <c r="L62" s="53"/>
      <c r="M62" s="53"/>
      <c r="N62" s="53"/>
      <c r="O62" s="53"/>
      <c r="P62" s="53"/>
      <c r="Q62" s="53"/>
      <c r="R62" s="53"/>
      <c r="S62" s="166" t="s">
        <v>209</v>
      </c>
    </row>
    <row r="63" spans="1:22">
      <c r="A63" s="224" t="s">
        <v>337</v>
      </c>
      <c r="B63" s="225"/>
      <c r="C63" s="225"/>
      <c r="D63" s="225"/>
      <c r="E63" s="225"/>
      <c r="F63" s="225"/>
      <c r="G63" s="225"/>
      <c r="H63" s="225"/>
      <c r="I63" s="225"/>
      <c r="J63" s="225"/>
      <c r="K63" s="225"/>
      <c r="L63" s="225"/>
      <c r="M63" s="225"/>
      <c r="N63" s="225"/>
      <c r="O63" s="225"/>
      <c r="P63" s="225"/>
      <c r="Q63" s="225"/>
      <c r="R63" s="225"/>
      <c r="S63" s="226"/>
      <c r="T63" s="61"/>
      <c r="U63" s="61"/>
      <c r="V63" s="61"/>
    </row>
    <row r="64" spans="1:22" ht="96">
      <c r="A64" s="213" t="s">
        <v>338</v>
      </c>
      <c r="B64" s="206"/>
      <c r="C64" s="221" t="s">
        <v>339</v>
      </c>
      <c r="D64" s="147" t="s">
        <v>340</v>
      </c>
      <c r="E64" s="22" t="s">
        <v>20</v>
      </c>
      <c r="F64" s="29" t="s">
        <v>341</v>
      </c>
      <c r="G64" s="30" t="s">
        <v>342</v>
      </c>
      <c r="H64" s="26" t="str">
        <f t="shared" ref="H64:H67" si="2">_xlfn.CONCAT("Confirm if the ",D64," ", "has approved the PR and the approver name captured in Approver fields")</f>
        <v>Confirm if the Director / Senior Director has approved the PR and the approver name captured in Approver fields</v>
      </c>
      <c r="I64" s="26"/>
      <c r="J64" s="26"/>
      <c r="K64" s="22"/>
      <c r="L64" s="22"/>
      <c r="M64" s="22"/>
      <c r="N64" s="22"/>
      <c r="O64" s="22"/>
      <c r="P64" s="35"/>
      <c r="Q64" s="22"/>
      <c r="R64" s="22"/>
      <c r="S64" s="166" t="s">
        <v>209</v>
      </c>
    </row>
    <row r="65" spans="1:19" ht="32.1">
      <c r="A65" s="213"/>
      <c r="B65" s="207"/>
      <c r="C65" s="222"/>
      <c r="D65" s="147" t="s">
        <v>328</v>
      </c>
      <c r="E65" s="22" t="s">
        <v>109</v>
      </c>
      <c r="F65" s="29" t="s">
        <v>343</v>
      </c>
      <c r="G65" s="30" t="s">
        <v>330</v>
      </c>
      <c r="H65" s="26" t="str">
        <f t="shared" si="2"/>
        <v>Confirm if the SVP - Managed Services &amp; Customer Support has approved the PR and the approver name captured in Approver fields</v>
      </c>
      <c r="I65" s="26"/>
      <c r="J65" s="26"/>
      <c r="K65" s="22"/>
      <c r="L65" s="22"/>
      <c r="M65" s="22"/>
      <c r="N65" s="22"/>
      <c r="O65" s="22"/>
      <c r="P65" s="35"/>
      <c r="Q65" s="22"/>
      <c r="R65" s="22"/>
      <c r="S65" s="166" t="s">
        <v>209</v>
      </c>
    </row>
    <row r="66" spans="1:19" ht="32.1">
      <c r="A66" s="213"/>
      <c r="B66" s="207"/>
      <c r="C66" s="222"/>
      <c r="D66" s="147" t="s">
        <v>331</v>
      </c>
      <c r="E66" s="22" t="s">
        <v>167</v>
      </c>
      <c r="F66" s="29" t="s">
        <v>332</v>
      </c>
      <c r="G66" s="30" t="s">
        <v>333</v>
      </c>
      <c r="H66" s="26" t="str">
        <f t="shared" si="2"/>
        <v>Confirm if the COO &amp;  CFO has approved the PR and the approver name captured in Approver fields</v>
      </c>
      <c r="I66" s="26"/>
      <c r="J66" s="26"/>
      <c r="K66" s="22"/>
      <c r="L66" s="22"/>
      <c r="M66" s="22"/>
      <c r="N66" s="22"/>
      <c r="O66" s="22"/>
      <c r="P66" s="35"/>
      <c r="Q66" s="22"/>
      <c r="R66" s="22"/>
      <c r="S66" s="166" t="s">
        <v>209</v>
      </c>
    </row>
    <row r="67" spans="1:19">
      <c r="A67" s="213"/>
      <c r="B67" s="208"/>
      <c r="C67" s="223"/>
      <c r="D67" s="147" t="s">
        <v>334</v>
      </c>
      <c r="E67" s="22" t="s">
        <v>170</v>
      </c>
      <c r="F67" s="29" t="s">
        <v>335</v>
      </c>
      <c r="G67" s="30" t="s">
        <v>336</v>
      </c>
      <c r="H67" s="26" t="str">
        <f t="shared" si="2"/>
        <v>Confirm if the CEO has approved the PR and the approver name captured in Approver fields</v>
      </c>
      <c r="I67" s="26"/>
      <c r="J67" s="26"/>
      <c r="K67" s="22"/>
      <c r="L67" s="22"/>
      <c r="M67" s="22"/>
      <c r="N67" s="22"/>
      <c r="O67" s="22"/>
      <c r="P67" s="35"/>
      <c r="Q67" s="22"/>
      <c r="R67" s="22"/>
      <c r="S67" s="166" t="s">
        <v>209</v>
      </c>
    </row>
    <row r="68" spans="1:19">
      <c r="A68" s="209" t="s">
        <v>344</v>
      </c>
      <c r="B68" s="210"/>
      <c r="C68" s="210"/>
      <c r="D68" s="210"/>
      <c r="E68" s="210"/>
      <c r="F68" s="210"/>
      <c r="G68" s="210"/>
      <c r="H68" s="210"/>
      <c r="I68" s="210"/>
      <c r="J68" s="210"/>
      <c r="K68" s="210"/>
      <c r="L68" s="210"/>
      <c r="M68" s="210"/>
      <c r="N68" s="210"/>
      <c r="O68" s="210"/>
      <c r="P68" s="210"/>
      <c r="Q68" s="210"/>
      <c r="R68" s="210"/>
      <c r="S68" s="214"/>
    </row>
    <row r="69" spans="1:19" ht="32.1">
      <c r="A69" s="213" t="s">
        <v>345</v>
      </c>
      <c r="B69" s="206"/>
      <c r="C69" s="212" t="s">
        <v>346</v>
      </c>
      <c r="D69" s="147" t="s">
        <v>347</v>
      </c>
      <c r="E69" s="22" t="s">
        <v>20</v>
      </c>
      <c r="F69" s="48" t="s">
        <v>329</v>
      </c>
      <c r="G69" s="30" t="s">
        <v>348</v>
      </c>
      <c r="H69" s="26" t="str">
        <f t="shared" ref="H69:H71" si="3">_xlfn.CONCAT("Confirm if the ",D69," ", "has approved the PR and the approver name captured in Approver fields")</f>
        <v>Confirm if the Senior Vice President &amp; Global Head of Delivery has approved the PR and the approver name captured in Approver fields</v>
      </c>
      <c r="I69" s="26"/>
      <c r="J69" s="26"/>
      <c r="K69" s="22"/>
      <c r="L69" s="22"/>
      <c r="M69" s="22"/>
      <c r="N69" s="22"/>
      <c r="O69" s="22"/>
      <c r="P69" s="35"/>
      <c r="Q69" s="22"/>
      <c r="R69" s="22"/>
      <c r="S69" s="166" t="s">
        <v>209</v>
      </c>
    </row>
    <row r="70" spans="1:19" ht="32.1">
      <c r="A70" s="213"/>
      <c r="B70" s="207"/>
      <c r="C70" s="212"/>
      <c r="D70" s="147" t="s">
        <v>331</v>
      </c>
      <c r="E70" s="22" t="s">
        <v>109</v>
      </c>
      <c r="F70" s="48" t="s">
        <v>332</v>
      </c>
      <c r="G70" s="30" t="s">
        <v>333</v>
      </c>
      <c r="H70" s="26" t="str">
        <f t="shared" si="3"/>
        <v>Confirm if the COO &amp;  CFO has approved the PR and the approver name captured in Approver fields</v>
      </c>
      <c r="I70" s="26"/>
      <c r="J70" s="26"/>
      <c r="K70" s="22"/>
      <c r="L70" s="22"/>
      <c r="M70" s="22"/>
      <c r="N70" s="22"/>
      <c r="O70" s="22"/>
      <c r="P70" s="35"/>
      <c r="Q70" s="22"/>
      <c r="R70" s="22"/>
      <c r="S70" s="166" t="s">
        <v>209</v>
      </c>
    </row>
    <row r="71" spans="1:19">
      <c r="A71" s="213"/>
      <c r="B71" s="208"/>
      <c r="C71" s="212"/>
      <c r="D71" s="147" t="s">
        <v>334</v>
      </c>
      <c r="E71" s="22" t="s">
        <v>167</v>
      </c>
      <c r="F71" s="48" t="s">
        <v>335</v>
      </c>
      <c r="G71" s="30" t="s">
        <v>336</v>
      </c>
      <c r="H71" s="26" t="str">
        <f t="shared" si="3"/>
        <v>Confirm if the CEO has approved the PR and the approver name captured in Approver fields</v>
      </c>
      <c r="I71" s="26"/>
      <c r="J71" s="26"/>
      <c r="K71" s="22"/>
      <c r="L71" s="22"/>
      <c r="M71" s="22"/>
      <c r="N71" s="22"/>
      <c r="O71" s="22"/>
      <c r="P71" s="35"/>
      <c r="Q71" s="22"/>
      <c r="R71" s="22"/>
      <c r="S71" s="166" t="s">
        <v>209</v>
      </c>
    </row>
    <row r="72" spans="1:19">
      <c r="A72" s="209" t="s">
        <v>349</v>
      </c>
      <c r="B72" s="210"/>
      <c r="C72" s="210"/>
      <c r="D72" s="210"/>
      <c r="E72" s="210"/>
      <c r="F72" s="210"/>
      <c r="G72" s="210"/>
      <c r="H72" s="210"/>
      <c r="I72" s="210"/>
      <c r="J72" s="210"/>
      <c r="K72" s="210"/>
      <c r="L72" s="210"/>
      <c r="M72" s="210"/>
      <c r="N72" s="210"/>
      <c r="O72" s="210"/>
      <c r="P72" s="210"/>
      <c r="Q72" s="210"/>
      <c r="R72" s="210"/>
      <c r="S72" s="214"/>
    </row>
    <row r="73" spans="1:19" ht="32.1">
      <c r="A73" s="213" t="s">
        <v>350</v>
      </c>
      <c r="B73" s="207"/>
      <c r="C73" s="212" t="s">
        <v>351</v>
      </c>
      <c r="D73" s="147" t="s">
        <v>352</v>
      </c>
      <c r="E73" s="22" t="s">
        <v>20</v>
      </c>
      <c r="F73" s="29" t="s">
        <v>329</v>
      </c>
      <c r="G73" s="30" t="s">
        <v>353</v>
      </c>
      <c r="H73" s="26" t="str">
        <f t="shared" ref="H73:H75" si="4">_xlfn.CONCAT("Confirm if the ",D73," ", "has approved the PR and the approver name captured in Approver fields")</f>
        <v>Confirm if the General Counsel has approved the PR and the approver name captured in Approver fields</v>
      </c>
      <c r="I73" s="26"/>
      <c r="J73" s="26"/>
      <c r="K73" s="22"/>
      <c r="L73" s="22"/>
      <c r="M73" s="22"/>
      <c r="N73" s="22"/>
      <c r="O73" s="22"/>
      <c r="P73" s="35"/>
      <c r="Q73" s="22"/>
      <c r="R73" s="22"/>
      <c r="S73" s="166" t="s">
        <v>209</v>
      </c>
    </row>
    <row r="74" spans="1:19" ht="32.1">
      <c r="A74" s="213"/>
      <c r="B74" s="207"/>
      <c r="C74" s="212"/>
      <c r="D74" s="147" t="s">
        <v>331</v>
      </c>
      <c r="E74" s="22" t="s">
        <v>109</v>
      </c>
      <c r="F74" s="29" t="s">
        <v>332</v>
      </c>
      <c r="G74" s="30" t="s">
        <v>333</v>
      </c>
      <c r="H74" s="26" t="str">
        <f t="shared" si="4"/>
        <v>Confirm if the COO &amp;  CFO has approved the PR and the approver name captured in Approver fields</v>
      </c>
      <c r="I74" s="26"/>
      <c r="J74" s="26"/>
      <c r="K74" s="22"/>
      <c r="L74" s="22"/>
      <c r="M74" s="22"/>
      <c r="N74" s="22"/>
      <c r="O74" s="22"/>
      <c r="P74" s="35"/>
      <c r="Q74" s="22"/>
      <c r="R74" s="22"/>
      <c r="S74" s="166" t="s">
        <v>209</v>
      </c>
    </row>
    <row r="75" spans="1:19">
      <c r="A75" s="213"/>
      <c r="B75" s="208"/>
      <c r="C75" s="212"/>
      <c r="D75" s="147" t="s">
        <v>334</v>
      </c>
      <c r="E75" s="22" t="s">
        <v>167</v>
      </c>
      <c r="F75" s="29" t="s">
        <v>335</v>
      </c>
      <c r="G75" s="30" t="s">
        <v>336</v>
      </c>
      <c r="H75" s="26" t="str">
        <f t="shared" si="4"/>
        <v>Confirm if the CEO has approved the PR and the approver name captured in Approver fields</v>
      </c>
      <c r="I75" s="26"/>
      <c r="J75" s="26"/>
      <c r="K75" s="22"/>
      <c r="L75" s="22"/>
      <c r="M75" s="22"/>
      <c r="N75" s="22"/>
      <c r="O75" s="22"/>
      <c r="P75" s="35"/>
      <c r="Q75" s="22"/>
      <c r="R75" s="22"/>
      <c r="S75" s="166" t="s">
        <v>209</v>
      </c>
    </row>
    <row r="76" spans="1:19">
      <c r="A76" s="209" t="s">
        <v>354</v>
      </c>
      <c r="B76" s="210"/>
      <c r="C76" s="210"/>
      <c r="D76" s="210"/>
      <c r="E76" s="210"/>
      <c r="F76" s="210"/>
      <c r="G76" s="210"/>
      <c r="H76" s="210"/>
      <c r="I76" s="210"/>
      <c r="J76" s="210"/>
      <c r="K76" s="210"/>
      <c r="L76" s="210"/>
      <c r="M76" s="210"/>
      <c r="N76" s="210"/>
      <c r="O76" s="210"/>
      <c r="P76" s="210"/>
      <c r="Q76" s="210"/>
      <c r="R76" s="210"/>
      <c r="S76" s="214"/>
    </row>
    <row r="77" spans="1:19" ht="32.1">
      <c r="A77" s="213" t="s">
        <v>355</v>
      </c>
      <c r="B77" s="206"/>
      <c r="C77" s="212" t="s">
        <v>356</v>
      </c>
      <c r="D77" s="170" t="s">
        <v>340</v>
      </c>
      <c r="E77" s="22" t="s">
        <v>20</v>
      </c>
      <c r="F77" s="48" t="s">
        <v>341</v>
      </c>
      <c r="G77" s="30" t="s">
        <v>357</v>
      </c>
      <c r="H77" s="26" t="str">
        <f t="shared" ref="H77:H80" si="5">_xlfn.CONCAT("Confirm if the ",D77," ", "has approved the PR and the approver name captured in Approver fields")</f>
        <v>Confirm if the Director / Senior Director has approved the PR and the approver name captured in Approver fields</v>
      </c>
      <c r="I77" s="26"/>
      <c r="J77" s="26"/>
      <c r="K77" s="22"/>
      <c r="L77" s="22"/>
      <c r="M77" s="22"/>
      <c r="N77" s="22"/>
      <c r="O77" s="22"/>
      <c r="P77" s="35"/>
      <c r="Q77" s="22"/>
      <c r="R77" s="22"/>
      <c r="S77" s="166" t="s">
        <v>209</v>
      </c>
    </row>
    <row r="78" spans="1:19" ht="32.1">
      <c r="A78" s="213"/>
      <c r="B78" s="207"/>
      <c r="C78" s="212"/>
      <c r="D78" s="170" t="s">
        <v>358</v>
      </c>
      <c r="E78" s="22" t="s">
        <v>109</v>
      </c>
      <c r="F78" s="48" t="s">
        <v>343</v>
      </c>
      <c r="G78" s="30" t="s">
        <v>359</v>
      </c>
      <c r="H78" s="26" t="str">
        <f t="shared" si="5"/>
        <v>Confirm if the Chief HR Officer has approved the PR and the approver name captured in Approver fields</v>
      </c>
      <c r="I78" s="26"/>
      <c r="J78" s="26"/>
      <c r="K78" s="22"/>
      <c r="L78" s="22"/>
      <c r="M78" s="22"/>
      <c r="N78" s="22"/>
      <c r="O78" s="22"/>
      <c r="P78" s="35"/>
      <c r="Q78" s="22"/>
      <c r="R78" s="22"/>
      <c r="S78" s="166" t="s">
        <v>209</v>
      </c>
    </row>
    <row r="79" spans="1:19" ht="32.1">
      <c r="A79" s="213"/>
      <c r="B79" s="207"/>
      <c r="C79" s="212"/>
      <c r="D79" s="170" t="s">
        <v>331</v>
      </c>
      <c r="E79" s="22" t="s">
        <v>167</v>
      </c>
      <c r="F79" s="48" t="s">
        <v>332</v>
      </c>
      <c r="G79" s="30" t="s">
        <v>331</v>
      </c>
      <c r="H79" s="26" t="str">
        <f t="shared" si="5"/>
        <v>Confirm if the COO &amp;  CFO has approved the PR and the approver name captured in Approver fields</v>
      </c>
      <c r="I79" s="26"/>
      <c r="J79" s="26"/>
      <c r="K79" s="22"/>
      <c r="L79" s="22"/>
      <c r="M79" s="22"/>
      <c r="N79" s="22"/>
      <c r="O79" s="22"/>
      <c r="P79" s="35"/>
      <c r="Q79" s="22"/>
      <c r="R79" s="22"/>
      <c r="S79" s="166" t="s">
        <v>209</v>
      </c>
    </row>
    <row r="80" spans="1:19">
      <c r="A80" s="213"/>
      <c r="B80" s="208"/>
      <c r="C80" s="212"/>
      <c r="D80" s="170" t="s">
        <v>334</v>
      </c>
      <c r="E80" s="22" t="s">
        <v>170</v>
      </c>
      <c r="F80" s="48" t="s">
        <v>335</v>
      </c>
      <c r="G80" s="30" t="s">
        <v>334</v>
      </c>
      <c r="H80" s="26" t="str">
        <f t="shared" si="5"/>
        <v>Confirm if the CEO has approved the PR and the approver name captured in Approver fields</v>
      </c>
      <c r="I80" s="26"/>
      <c r="J80" s="26"/>
      <c r="K80" s="22"/>
      <c r="L80" s="22"/>
      <c r="M80" s="22"/>
      <c r="N80" s="22"/>
      <c r="O80" s="22"/>
      <c r="P80" s="35"/>
      <c r="Q80" s="22"/>
      <c r="R80" s="22"/>
      <c r="S80" s="166" t="s">
        <v>209</v>
      </c>
    </row>
    <row r="81" spans="1:19">
      <c r="A81" s="209" t="s">
        <v>360</v>
      </c>
      <c r="B81" s="210"/>
      <c r="C81" s="210"/>
      <c r="D81" s="210"/>
      <c r="E81" s="210"/>
      <c r="F81" s="210"/>
      <c r="G81" s="210"/>
      <c r="H81" s="210"/>
      <c r="I81" s="210"/>
      <c r="J81" s="210"/>
      <c r="K81" s="210"/>
      <c r="L81" s="210"/>
      <c r="M81" s="210"/>
      <c r="N81" s="210"/>
      <c r="O81" s="210"/>
      <c r="P81" s="210"/>
      <c r="Q81" s="210"/>
      <c r="R81" s="210"/>
      <c r="S81" s="214"/>
    </row>
    <row r="82" spans="1:19" ht="32.1">
      <c r="A82" s="213" t="s">
        <v>361</v>
      </c>
      <c r="B82" s="206"/>
      <c r="C82" s="212" t="s">
        <v>362</v>
      </c>
      <c r="D82" s="147" t="s">
        <v>363</v>
      </c>
      <c r="E82" s="22" t="s">
        <v>20</v>
      </c>
      <c r="F82" s="29" t="s">
        <v>329</v>
      </c>
      <c r="G82" s="30" t="s">
        <v>364</v>
      </c>
      <c r="H82" s="26" t="str">
        <f t="shared" ref="H82:H84" si="6">_xlfn.CONCAT("Confirm if the ",D82," ", "has approved the PR and the approver name captured in Approver fields")</f>
        <v>Confirm if the Chief Information Officer - IT/Systems has approved the PR and the approver name captured in Approver fields</v>
      </c>
      <c r="I82" s="26"/>
      <c r="J82" s="26"/>
      <c r="K82" s="22"/>
      <c r="L82" s="22"/>
      <c r="M82" s="22"/>
      <c r="N82" s="22"/>
      <c r="O82" s="22"/>
      <c r="P82" s="35"/>
      <c r="Q82" s="22"/>
      <c r="R82" s="22"/>
      <c r="S82" s="166" t="s">
        <v>209</v>
      </c>
    </row>
    <row r="83" spans="1:19" ht="32.1">
      <c r="A83" s="213"/>
      <c r="B83" s="207"/>
      <c r="C83" s="212"/>
      <c r="D83" s="170" t="s">
        <v>331</v>
      </c>
      <c r="E83" s="22" t="s">
        <v>109</v>
      </c>
      <c r="F83" s="29" t="s">
        <v>332</v>
      </c>
      <c r="G83" s="30" t="s">
        <v>331</v>
      </c>
      <c r="H83" s="26" t="str">
        <f t="shared" si="6"/>
        <v>Confirm if the COO &amp;  CFO has approved the PR and the approver name captured in Approver fields</v>
      </c>
      <c r="I83" s="26"/>
      <c r="J83" s="26"/>
      <c r="K83" s="22"/>
      <c r="L83" s="22"/>
      <c r="M83" s="22"/>
      <c r="N83" s="22"/>
      <c r="O83" s="22"/>
      <c r="P83" s="35"/>
      <c r="Q83" s="22"/>
      <c r="R83" s="22"/>
      <c r="S83" s="166" t="s">
        <v>209</v>
      </c>
    </row>
    <row r="84" spans="1:19">
      <c r="A84" s="213"/>
      <c r="B84" s="208"/>
      <c r="C84" s="212"/>
      <c r="D84" s="170" t="s">
        <v>334</v>
      </c>
      <c r="E84" s="22" t="s">
        <v>167</v>
      </c>
      <c r="F84" s="29" t="s">
        <v>335</v>
      </c>
      <c r="G84" s="30" t="s">
        <v>334</v>
      </c>
      <c r="H84" s="26" t="str">
        <f t="shared" si="6"/>
        <v>Confirm if the CEO has approved the PR and the approver name captured in Approver fields</v>
      </c>
      <c r="I84" s="26"/>
      <c r="J84" s="26"/>
      <c r="K84" s="22"/>
      <c r="L84" s="22"/>
      <c r="M84" s="22"/>
      <c r="N84" s="22"/>
      <c r="O84" s="22"/>
      <c r="P84" s="35"/>
      <c r="Q84" s="22"/>
      <c r="R84" s="22"/>
      <c r="S84" s="166" t="s">
        <v>209</v>
      </c>
    </row>
    <row r="85" spans="1:19">
      <c r="A85" s="209" t="s">
        <v>365</v>
      </c>
      <c r="B85" s="210"/>
      <c r="C85" s="210"/>
      <c r="D85" s="210"/>
      <c r="E85" s="210"/>
      <c r="F85" s="210"/>
      <c r="G85" s="210"/>
      <c r="H85" s="210"/>
      <c r="I85" s="210"/>
      <c r="J85" s="210"/>
      <c r="K85" s="210"/>
      <c r="L85" s="210"/>
      <c r="M85" s="210"/>
      <c r="N85" s="210"/>
      <c r="O85" s="210"/>
      <c r="P85" s="210"/>
      <c r="Q85" s="210"/>
      <c r="R85" s="210"/>
      <c r="S85" s="214"/>
    </row>
    <row r="86" spans="1:19" ht="32.1">
      <c r="A86" s="213" t="s">
        <v>366</v>
      </c>
      <c r="B86" s="206"/>
      <c r="C86" s="212" t="s">
        <v>367</v>
      </c>
      <c r="D86" s="170" t="s">
        <v>368</v>
      </c>
      <c r="E86" s="22" t="s">
        <v>20</v>
      </c>
      <c r="F86" s="48" t="s">
        <v>329</v>
      </c>
      <c r="G86" s="30" t="s">
        <v>369</v>
      </c>
      <c r="H86" s="26" t="str">
        <f t="shared" ref="H86:H88" si="7">_xlfn.CONCAT("Confirm if the ",D86," ", "has approved the PR and the approver name captured in Approver fields")</f>
        <v>Confirm if the Corporate Controller has approved the PR and the approver name captured in Approver fields</v>
      </c>
      <c r="I86" s="26"/>
      <c r="J86" s="26"/>
      <c r="K86" s="22"/>
      <c r="L86" s="22"/>
      <c r="M86" s="22"/>
      <c r="N86" s="22"/>
      <c r="O86" s="22"/>
      <c r="P86" s="35"/>
      <c r="Q86" s="22"/>
      <c r="R86" s="22"/>
      <c r="S86" s="166" t="s">
        <v>209</v>
      </c>
    </row>
    <row r="87" spans="1:19" ht="32.1">
      <c r="A87" s="213"/>
      <c r="B87" s="207"/>
      <c r="C87" s="212"/>
      <c r="D87" s="170" t="s">
        <v>331</v>
      </c>
      <c r="E87" s="22" t="s">
        <v>109</v>
      </c>
      <c r="F87" s="48" t="s">
        <v>332</v>
      </c>
      <c r="G87" s="30" t="s">
        <v>331</v>
      </c>
      <c r="H87" s="26" t="str">
        <f t="shared" si="7"/>
        <v>Confirm if the COO &amp;  CFO has approved the PR and the approver name captured in Approver fields</v>
      </c>
      <c r="I87" s="26"/>
      <c r="J87" s="26"/>
      <c r="K87" s="22"/>
      <c r="L87" s="22"/>
      <c r="M87" s="22"/>
      <c r="N87" s="22"/>
      <c r="O87" s="22"/>
      <c r="P87" s="35"/>
      <c r="Q87" s="22"/>
      <c r="R87" s="22"/>
      <c r="S87" s="166" t="s">
        <v>209</v>
      </c>
    </row>
    <row r="88" spans="1:19">
      <c r="A88" s="213"/>
      <c r="B88" s="208"/>
      <c r="C88" s="212"/>
      <c r="D88" s="170" t="s">
        <v>334</v>
      </c>
      <c r="E88" s="22" t="s">
        <v>167</v>
      </c>
      <c r="F88" s="48" t="s">
        <v>335</v>
      </c>
      <c r="G88" s="30" t="s">
        <v>334</v>
      </c>
      <c r="H88" s="26" t="str">
        <f t="shared" si="7"/>
        <v>Confirm if the CEO has approved the PR and the approver name captured in Approver fields</v>
      </c>
      <c r="I88" s="26"/>
      <c r="J88" s="26"/>
      <c r="K88" s="22"/>
      <c r="L88" s="22"/>
      <c r="M88" s="22"/>
      <c r="N88" s="22"/>
      <c r="O88" s="22"/>
      <c r="P88" s="35"/>
      <c r="Q88" s="22"/>
      <c r="R88" s="22"/>
      <c r="S88" s="166" t="s">
        <v>209</v>
      </c>
    </row>
    <row r="89" spans="1:19">
      <c r="A89" s="209" t="s">
        <v>370</v>
      </c>
      <c r="B89" s="210"/>
      <c r="C89" s="210"/>
      <c r="D89" s="210"/>
      <c r="E89" s="210"/>
      <c r="F89" s="210"/>
      <c r="G89" s="210"/>
      <c r="H89" s="210"/>
      <c r="I89" s="210"/>
      <c r="J89" s="210"/>
      <c r="K89" s="210"/>
      <c r="L89" s="210"/>
      <c r="M89" s="210"/>
      <c r="N89" s="210"/>
      <c r="O89" s="210"/>
      <c r="P89" s="210"/>
      <c r="Q89" s="210"/>
      <c r="R89" s="210"/>
      <c r="S89" s="214"/>
    </row>
    <row r="90" spans="1:19">
      <c r="A90" s="213" t="s">
        <v>371</v>
      </c>
      <c r="B90" s="206"/>
      <c r="C90" s="212" t="s">
        <v>372</v>
      </c>
      <c r="D90" s="147" t="s">
        <v>373</v>
      </c>
      <c r="E90" s="22" t="s">
        <v>20</v>
      </c>
      <c r="F90" s="48" t="s">
        <v>374</v>
      </c>
      <c r="G90" s="30" t="s">
        <v>373</v>
      </c>
      <c r="H90" s="26" t="str">
        <f t="shared" ref="H90:H93" si="8">_xlfn.CONCAT("Confirm if the ",D90," ", "has approved the PR and the approver name captured in Approver fields")</f>
        <v>Confirm if the VP / SVP has approved the PR and the approver name captured in Approver fields</v>
      </c>
      <c r="I90" s="26"/>
      <c r="J90" s="26"/>
      <c r="K90" s="22"/>
      <c r="L90" s="22"/>
      <c r="M90" s="22"/>
      <c r="N90" s="22"/>
      <c r="O90" s="22"/>
      <c r="P90" s="35"/>
      <c r="Q90" s="22"/>
      <c r="R90" s="22"/>
      <c r="S90" s="166" t="s">
        <v>209</v>
      </c>
    </row>
    <row r="91" spans="1:19" ht="32.1">
      <c r="A91" s="213"/>
      <c r="B91" s="207"/>
      <c r="C91" s="212"/>
      <c r="D91" s="170" t="s">
        <v>368</v>
      </c>
      <c r="E91" s="22" t="s">
        <v>109</v>
      </c>
      <c r="F91" s="48" t="s">
        <v>375</v>
      </c>
      <c r="G91" s="30" t="s">
        <v>369</v>
      </c>
      <c r="H91" s="26" t="str">
        <f t="shared" si="8"/>
        <v>Confirm if the Corporate Controller has approved the PR and the approver name captured in Approver fields</v>
      </c>
      <c r="I91" s="26"/>
      <c r="J91" s="26"/>
      <c r="K91" s="22"/>
      <c r="L91" s="22"/>
      <c r="M91" s="22"/>
      <c r="N91" s="22"/>
      <c r="O91" s="22"/>
      <c r="P91" s="35"/>
      <c r="Q91" s="22"/>
      <c r="R91" s="22"/>
      <c r="S91" s="166" t="s">
        <v>209</v>
      </c>
    </row>
    <row r="92" spans="1:19" ht="32.1">
      <c r="A92" s="213"/>
      <c r="B92" s="207"/>
      <c r="C92" s="212"/>
      <c r="D92" s="147" t="s">
        <v>331</v>
      </c>
      <c r="E92" s="22" t="s">
        <v>167</v>
      </c>
      <c r="F92" s="48" t="s">
        <v>332</v>
      </c>
      <c r="G92" s="30" t="s">
        <v>331</v>
      </c>
      <c r="H92" s="26" t="str">
        <f t="shared" si="8"/>
        <v>Confirm if the COO &amp;  CFO has approved the PR and the approver name captured in Approver fields</v>
      </c>
      <c r="I92" s="26"/>
      <c r="J92" s="26"/>
      <c r="K92" s="22"/>
      <c r="L92" s="22"/>
      <c r="M92" s="22"/>
      <c r="N92" s="22"/>
      <c r="O92" s="22"/>
      <c r="P92" s="35"/>
      <c r="Q92" s="22"/>
      <c r="R92" s="22"/>
      <c r="S92" s="166" t="s">
        <v>209</v>
      </c>
    </row>
    <row r="93" spans="1:19">
      <c r="A93" s="213"/>
      <c r="B93" s="208"/>
      <c r="C93" s="212"/>
      <c r="D93" s="147" t="s">
        <v>334</v>
      </c>
      <c r="E93" s="22" t="s">
        <v>170</v>
      </c>
      <c r="F93" s="48" t="s">
        <v>335</v>
      </c>
      <c r="G93" s="30" t="s">
        <v>334</v>
      </c>
      <c r="H93" s="26" t="str">
        <f t="shared" si="8"/>
        <v>Confirm if the CEO has approved the PR and the approver name captured in Approver fields</v>
      </c>
      <c r="I93" s="26"/>
      <c r="J93" s="26"/>
      <c r="K93" s="22"/>
      <c r="L93" s="22"/>
      <c r="M93" s="22"/>
      <c r="N93" s="22"/>
      <c r="O93" s="22"/>
      <c r="P93" s="35"/>
      <c r="Q93" s="22"/>
      <c r="R93" s="22"/>
      <c r="S93" s="166" t="s">
        <v>209</v>
      </c>
    </row>
    <row r="94" spans="1:19">
      <c r="A94" s="209" t="s">
        <v>376</v>
      </c>
      <c r="B94" s="210"/>
      <c r="C94" s="210"/>
      <c r="D94" s="210"/>
      <c r="E94" s="210"/>
      <c r="F94" s="210"/>
      <c r="G94" s="210"/>
      <c r="H94" s="210"/>
      <c r="I94" s="210"/>
      <c r="J94" s="210"/>
      <c r="K94" s="210"/>
      <c r="L94" s="210"/>
      <c r="M94" s="210"/>
      <c r="N94" s="210"/>
      <c r="O94" s="210"/>
      <c r="P94" s="210"/>
      <c r="Q94" s="210"/>
      <c r="R94" s="210"/>
      <c r="S94" s="214"/>
    </row>
    <row r="95" spans="1:19">
      <c r="A95" s="213" t="s">
        <v>377</v>
      </c>
      <c r="B95" s="206"/>
      <c r="C95" s="212" t="s">
        <v>378</v>
      </c>
      <c r="D95" s="147" t="s">
        <v>373</v>
      </c>
      <c r="E95" s="22" t="s">
        <v>20</v>
      </c>
      <c r="F95" s="29" t="s">
        <v>329</v>
      </c>
      <c r="G95" s="30" t="s">
        <v>373</v>
      </c>
      <c r="H95" s="26" t="str">
        <f t="shared" ref="H95:H97" si="9">_xlfn.CONCAT("Confirm if the ",D95," ", "has approved the PR and the approver name captured in Approver fields")</f>
        <v>Confirm if the VP / SVP has approved the PR and the approver name captured in Approver fields</v>
      </c>
      <c r="I95" s="26"/>
      <c r="J95" s="26"/>
      <c r="K95" s="22"/>
      <c r="L95" s="22"/>
      <c r="M95" s="22"/>
      <c r="N95" s="22"/>
      <c r="O95" s="22"/>
      <c r="P95" s="35"/>
      <c r="Q95" s="22"/>
      <c r="R95" s="22"/>
      <c r="S95" s="166" t="s">
        <v>209</v>
      </c>
    </row>
    <row r="96" spans="1:19" ht="32.1">
      <c r="A96" s="213"/>
      <c r="B96" s="207"/>
      <c r="C96" s="212"/>
      <c r="D96" s="147" t="s">
        <v>331</v>
      </c>
      <c r="E96" s="22" t="s">
        <v>109</v>
      </c>
      <c r="F96" s="29" t="s">
        <v>332</v>
      </c>
      <c r="G96" s="30" t="s">
        <v>331</v>
      </c>
      <c r="H96" s="26" t="str">
        <f t="shared" si="9"/>
        <v>Confirm if the COO &amp;  CFO has approved the PR and the approver name captured in Approver fields</v>
      </c>
      <c r="I96" s="26"/>
      <c r="J96" s="26"/>
      <c r="K96" s="22"/>
      <c r="L96" s="22"/>
      <c r="M96" s="22"/>
      <c r="N96" s="22"/>
      <c r="O96" s="22"/>
      <c r="P96" s="35"/>
      <c r="Q96" s="22"/>
      <c r="R96" s="22"/>
      <c r="S96" s="166" t="s">
        <v>209</v>
      </c>
    </row>
    <row r="97" spans="1:19">
      <c r="A97" s="213"/>
      <c r="B97" s="208"/>
      <c r="C97" s="212"/>
      <c r="D97" s="147" t="s">
        <v>334</v>
      </c>
      <c r="E97" s="22" t="s">
        <v>167</v>
      </c>
      <c r="F97" s="29" t="s">
        <v>335</v>
      </c>
      <c r="G97" s="30" t="s">
        <v>334</v>
      </c>
      <c r="H97" s="26" t="str">
        <f t="shared" si="9"/>
        <v>Confirm if the CEO has approved the PR and the approver name captured in Approver fields</v>
      </c>
      <c r="I97" s="26"/>
      <c r="J97" s="26"/>
      <c r="K97" s="22"/>
      <c r="L97" s="22"/>
      <c r="M97" s="22"/>
      <c r="N97" s="22"/>
      <c r="O97" s="22"/>
      <c r="P97" s="35"/>
      <c r="Q97" s="22"/>
      <c r="R97" s="22"/>
      <c r="S97" s="166" t="s">
        <v>209</v>
      </c>
    </row>
    <row r="98" spans="1:19">
      <c r="A98" s="209" t="s">
        <v>379</v>
      </c>
      <c r="B98" s="210"/>
      <c r="C98" s="210"/>
      <c r="D98" s="210"/>
      <c r="E98" s="210"/>
      <c r="F98" s="210"/>
      <c r="G98" s="210"/>
      <c r="H98" s="210"/>
      <c r="I98" s="210"/>
      <c r="J98" s="210"/>
      <c r="K98" s="210"/>
      <c r="L98" s="210"/>
      <c r="M98" s="210"/>
      <c r="N98" s="210"/>
      <c r="O98" s="210"/>
      <c r="P98" s="210"/>
      <c r="Q98" s="210"/>
      <c r="R98" s="210"/>
      <c r="S98" s="214"/>
    </row>
    <row r="99" spans="1:19" ht="32.1">
      <c r="A99" s="213" t="s">
        <v>380</v>
      </c>
      <c r="B99" s="206"/>
      <c r="C99" s="212" t="s">
        <v>381</v>
      </c>
      <c r="D99" s="147" t="s">
        <v>382</v>
      </c>
      <c r="E99" s="22" t="s">
        <v>20</v>
      </c>
      <c r="F99" s="48" t="s">
        <v>329</v>
      </c>
      <c r="G99" s="30" t="s">
        <v>382</v>
      </c>
      <c r="H99" s="26" t="str">
        <f t="shared" ref="H99:H101" si="10">_xlfn.CONCAT("Confirm if the ",D99," ", "has approved the PR and the approver name captured in Approver fields")</f>
        <v>Confirm if the Chief Compliance Officer has approved the PR and the approver name captured in Approver fields</v>
      </c>
      <c r="I99" s="26"/>
      <c r="J99" s="26"/>
      <c r="K99" s="22"/>
      <c r="L99" s="22"/>
      <c r="M99" s="22"/>
      <c r="N99" s="22"/>
      <c r="O99" s="22"/>
      <c r="P99" s="35"/>
      <c r="Q99" s="22"/>
      <c r="R99" s="22"/>
      <c r="S99" s="166" t="s">
        <v>209</v>
      </c>
    </row>
    <row r="100" spans="1:19" ht="32.1">
      <c r="A100" s="213"/>
      <c r="B100" s="207"/>
      <c r="C100" s="212"/>
      <c r="D100" s="147" t="s">
        <v>331</v>
      </c>
      <c r="E100" s="22" t="s">
        <v>109</v>
      </c>
      <c r="F100" s="48" t="s">
        <v>332</v>
      </c>
      <c r="G100" s="30" t="s">
        <v>331</v>
      </c>
      <c r="H100" s="26" t="str">
        <f t="shared" si="10"/>
        <v>Confirm if the COO &amp;  CFO has approved the PR and the approver name captured in Approver fields</v>
      </c>
      <c r="I100" s="26"/>
      <c r="J100" s="26"/>
      <c r="K100" s="22"/>
      <c r="L100" s="22"/>
      <c r="M100" s="22"/>
      <c r="N100" s="22"/>
      <c r="O100" s="22"/>
      <c r="P100" s="35"/>
      <c r="Q100" s="22"/>
      <c r="R100" s="22"/>
      <c r="S100" s="166" t="s">
        <v>209</v>
      </c>
    </row>
    <row r="101" spans="1:19">
      <c r="A101" s="213"/>
      <c r="B101" s="208"/>
      <c r="C101" s="212"/>
      <c r="D101" s="147" t="s">
        <v>334</v>
      </c>
      <c r="E101" s="22" t="s">
        <v>167</v>
      </c>
      <c r="F101" s="48" t="s">
        <v>335</v>
      </c>
      <c r="G101" s="30" t="s">
        <v>334</v>
      </c>
      <c r="H101" s="26" t="str">
        <f t="shared" si="10"/>
        <v>Confirm if the CEO has approved the PR and the approver name captured in Approver fields</v>
      </c>
      <c r="I101" s="26"/>
      <c r="J101" s="26"/>
      <c r="K101" s="22"/>
      <c r="L101" s="22"/>
      <c r="M101" s="22"/>
      <c r="N101" s="22"/>
      <c r="O101" s="22"/>
      <c r="P101" s="35"/>
      <c r="Q101" s="22"/>
      <c r="R101" s="22"/>
      <c r="S101" s="166" t="s">
        <v>209</v>
      </c>
    </row>
    <row r="102" spans="1:19">
      <c r="A102" s="209" t="s">
        <v>383</v>
      </c>
      <c r="B102" s="210"/>
      <c r="C102" s="210"/>
      <c r="D102" s="210"/>
      <c r="E102" s="210"/>
      <c r="F102" s="210"/>
      <c r="G102" s="210"/>
      <c r="H102" s="210"/>
      <c r="I102" s="210"/>
      <c r="J102" s="210"/>
      <c r="K102" s="210"/>
      <c r="L102" s="210"/>
      <c r="M102" s="210"/>
      <c r="N102" s="210"/>
      <c r="O102" s="210"/>
      <c r="P102" s="210"/>
      <c r="Q102" s="210"/>
      <c r="R102" s="210"/>
      <c r="S102" s="214"/>
    </row>
    <row r="103" spans="1:19" ht="128.1">
      <c r="A103" s="213" t="s">
        <v>384</v>
      </c>
      <c r="B103" s="206"/>
      <c r="C103" s="212" t="s">
        <v>385</v>
      </c>
      <c r="D103" s="147" t="s">
        <v>340</v>
      </c>
      <c r="E103" s="22" t="s">
        <v>20</v>
      </c>
      <c r="F103" s="48" t="s">
        <v>341</v>
      </c>
      <c r="G103" s="30" t="s">
        <v>386</v>
      </c>
      <c r="H103" s="26" t="str">
        <f t="shared" ref="H103:H106" si="11">_xlfn.CONCAT("Confirm if the ",D103," ", "has approved the PR and the approver name captured in Approver fields")</f>
        <v>Confirm if the Director / Senior Director has approved the PR and the approver name captured in Approver fields</v>
      </c>
      <c r="I103" s="26"/>
      <c r="J103" s="26"/>
      <c r="K103" s="22"/>
      <c r="L103" s="22"/>
      <c r="M103" s="22"/>
      <c r="N103" s="22"/>
      <c r="O103" s="22"/>
      <c r="P103" s="35"/>
      <c r="Q103" s="22"/>
      <c r="R103" s="22"/>
      <c r="S103" s="166" t="s">
        <v>209</v>
      </c>
    </row>
    <row r="104" spans="1:19" ht="32.1">
      <c r="A104" s="213"/>
      <c r="B104" s="207"/>
      <c r="C104" s="212"/>
      <c r="D104" s="147" t="s">
        <v>387</v>
      </c>
      <c r="E104" s="22" t="s">
        <v>109</v>
      </c>
      <c r="F104" s="48" t="s">
        <v>343</v>
      </c>
      <c r="G104" s="30" t="s">
        <v>387</v>
      </c>
      <c r="H104" s="26" t="str">
        <f t="shared" si="11"/>
        <v>Confirm if the CTO or SVP - Global Head of Engineering has approved the PR and the approver name captured in Approver fields</v>
      </c>
      <c r="I104" s="26"/>
      <c r="J104" s="26"/>
      <c r="K104" s="22"/>
      <c r="L104" s="22"/>
      <c r="M104" s="22"/>
      <c r="N104" s="22"/>
      <c r="O104" s="22"/>
      <c r="P104" s="35"/>
      <c r="Q104" s="22"/>
      <c r="R104" s="22"/>
      <c r="S104" s="166" t="s">
        <v>209</v>
      </c>
    </row>
    <row r="105" spans="1:19" ht="32.1">
      <c r="A105" s="213"/>
      <c r="B105" s="207"/>
      <c r="C105" s="212"/>
      <c r="D105" s="147" t="s">
        <v>331</v>
      </c>
      <c r="E105" s="22" t="s">
        <v>167</v>
      </c>
      <c r="F105" s="48" t="s">
        <v>332</v>
      </c>
      <c r="G105" s="30" t="s">
        <v>331</v>
      </c>
      <c r="H105" s="26" t="str">
        <f t="shared" si="11"/>
        <v>Confirm if the COO &amp;  CFO has approved the PR and the approver name captured in Approver fields</v>
      </c>
      <c r="I105" s="26"/>
      <c r="J105" s="26"/>
      <c r="K105" s="22"/>
      <c r="L105" s="22"/>
      <c r="M105" s="22"/>
      <c r="N105" s="22"/>
      <c r="O105" s="22"/>
      <c r="P105" s="35"/>
      <c r="Q105" s="22"/>
      <c r="R105" s="22"/>
      <c r="S105" s="166" t="s">
        <v>209</v>
      </c>
    </row>
    <row r="106" spans="1:19">
      <c r="A106" s="213"/>
      <c r="B106" s="208"/>
      <c r="C106" s="212"/>
      <c r="D106" s="147" t="s">
        <v>334</v>
      </c>
      <c r="E106" s="22" t="s">
        <v>170</v>
      </c>
      <c r="F106" s="48" t="s">
        <v>335</v>
      </c>
      <c r="G106" s="30" t="s">
        <v>334</v>
      </c>
      <c r="H106" s="26" t="str">
        <f t="shared" si="11"/>
        <v>Confirm if the CEO has approved the PR and the approver name captured in Approver fields</v>
      </c>
      <c r="I106" s="26"/>
      <c r="J106" s="26"/>
      <c r="K106" s="22"/>
      <c r="L106" s="22"/>
      <c r="M106" s="22"/>
      <c r="N106" s="22"/>
      <c r="O106" s="22"/>
      <c r="P106" s="35"/>
      <c r="Q106" s="22"/>
      <c r="R106" s="22"/>
      <c r="S106" s="166" t="s">
        <v>209</v>
      </c>
    </row>
    <row r="107" spans="1:19">
      <c r="A107" s="209" t="s">
        <v>388</v>
      </c>
      <c r="B107" s="210"/>
      <c r="C107" s="210"/>
      <c r="D107" s="210"/>
      <c r="E107" s="210"/>
      <c r="F107" s="210"/>
      <c r="G107" s="210"/>
      <c r="H107" s="210"/>
      <c r="I107" s="210"/>
      <c r="J107" s="210"/>
      <c r="K107" s="210"/>
      <c r="L107" s="210"/>
      <c r="M107" s="210"/>
      <c r="N107" s="210"/>
      <c r="O107" s="210"/>
      <c r="P107" s="210"/>
      <c r="Q107" s="210"/>
      <c r="R107" s="210"/>
      <c r="S107" s="214"/>
    </row>
    <row r="108" spans="1:19" ht="46.5" customHeight="1">
      <c r="A108" s="206" t="s">
        <v>389</v>
      </c>
      <c r="B108" s="206"/>
      <c r="C108" s="221" t="s">
        <v>390</v>
      </c>
      <c r="D108" s="147" t="s">
        <v>391</v>
      </c>
      <c r="E108" s="22" t="s">
        <v>20</v>
      </c>
      <c r="F108" s="48" t="s">
        <v>329</v>
      </c>
      <c r="G108" s="30" t="s">
        <v>391</v>
      </c>
      <c r="H108" s="26" t="str">
        <f t="shared" ref="H108:H110" si="12">_xlfn.CONCAT("Confirm if the ",D108," ", "has approved the PR and the approver name captured in Approver fields")</f>
        <v>Confirm if the Chief Revenue Officer has approved the PR and the approver name captured in Approver fields</v>
      </c>
      <c r="I108" s="26"/>
      <c r="J108" s="26"/>
      <c r="K108" s="22"/>
      <c r="L108" s="22"/>
      <c r="M108" s="22"/>
      <c r="N108" s="22"/>
      <c r="O108" s="22"/>
      <c r="P108" s="35"/>
      <c r="Q108" s="22"/>
      <c r="R108" s="22"/>
      <c r="S108" s="166" t="s">
        <v>209</v>
      </c>
    </row>
    <row r="109" spans="1:19" ht="32.1">
      <c r="A109" s="207"/>
      <c r="B109" s="207"/>
      <c r="C109" s="222"/>
      <c r="D109" s="147" t="s">
        <v>331</v>
      </c>
      <c r="E109" s="22" t="s">
        <v>109</v>
      </c>
      <c r="F109" s="48" t="s">
        <v>332</v>
      </c>
      <c r="G109" s="30" t="s">
        <v>331</v>
      </c>
      <c r="H109" s="26" t="str">
        <f t="shared" si="12"/>
        <v>Confirm if the COO &amp;  CFO has approved the PR and the approver name captured in Approver fields</v>
      </c>
      <c r="I109" s="26"/>
      <c r="J109" s="26"/>
      <c r="K109" s="22"/>
      <c r="L109" s="22"/>
      <c r="M109" s="22"/>
      <c r="N109" s="22"/>
      <c r="O109" s="22"/>
      <c r="P109" s="35"/>
      <c r="Q109" s="22"/>
      <c r="R109" s="22"/>
      <c r="S109" s="166" t="s">
        <v>209</v>
      </c>
    </row>
    <row r="110" spans="1:19" ht="15.75" customHeight="1">
      <c r="A110" s="208"/>
      <c r="B110" s="208"/>
      <c r="C110" s="223"/>
      <c r="D110" s="147" t="s">
        <v>334</v>
      </c>
      <c r="E110" s="22" t="s">
        <v>167</v>
      </c>
      <c r="F110" s="48" t="s">
        <v>335</v>
      </c>
      <c r="G110" s="30" t="s">
        <v>334</v>
      </c>
      <c r="H110" s="26" t="str">
        <f t="shared" si="12"/>
        <v>Confirm if the CEO has approved the PR and the approver name captured in Approver fields</v>
      </c>
      <c r="I110" s="26"/>
      <c r="J110" s="26"/>
      <c r="K110" s="22"/>
      <c r="L110" s="22"/>
      <c r="M110" s="22"/>
      <c r="N110" s="22"/>
      <c r="O110" s="22"/>
      <c r="P110" s="35"/>
      <c r="Q110" s="22"/>
      <c r="R110" s="22"/>
      <c r="S110" s="166" t="s">
        <v>209</v>
      </c>
    </row>
    <row r="111" spans="1:19" ht="15.75" customHeight="1">
      <c r="A111" s="209" t="s">
        <v>392</v>
      </c>
      <c r="B111" s="210"/>
      <c r="C111" s="210"/>
      <c r="D111" s="210"/>
      <c r="E111" s="210"/>
      <c r="F111" s="210"/>
      <c r="G111" s="210"/>
      <c r="H111" s="210"/>
      <c r="I111" s="210"/>
      <c r="J111" s="210"/>
      <c r="K111" s="210"/>
      <c r="L111" s="210"/>
      <c r="M111" s="210"/>
      <c r="N111" s="210"/>
      <c r="O111" s="210"/>
      <c r="P111" s="210"/>
      <c r="Q111" s="210"/>
      <c r="R111" s="210"/>
      <c r="S111" s="211"/>
    </row>
    <row r="112" spans="1:19" ht="32.1">
      <c r="A112" s="206" t="s">
        <v>393</v>
      </c>
      <c r="B112" s="206"/>
      <c r="C112" s="221" t="s">
        <v>394</v>
      </c>
      <c r="D112" s="147" t="s">
        <v>395</v>
      </c>
      <c r="E112" s="22" t="s">
        <v>20</v>
      </c>
      <c r="F112" s="48" t="s">
        <v>329</v>
      </c>
      <c r="G112" s="153" t="s">
        <v>395</v>
      </c>
      <c r="H112" s="26" t="str">
        <f t="shared" ref="H112:H114" si="13">_xlfn.CONCAT("Confirm if the ",D112," ", "has approved the PR and the approver name captured in Approver fields")</f>
        <v>Confirm if the Senior Director - Cloud Operations has approved the PR and the approver name captured in Approver fields</v>
      </c>
      <c r="I112" s="26"/>
      <c r="J112" s="26"/>
      <c r="K112" s="22"/>
      <c r="L112" s="22"/>
      <c r="M112" s="22"/>
      <c r="N112" s="22"/>
      <c r="O112" s="22"/>
      <c r="P112" s="35"/>
      <c r="Q112" s="22"/>
      <c r="R112" s="22"/>
      <c r="S112" s="166" t="s">
        <v>209</v>
      </c>
    </row>
    <row r="113" spans="1:19" ht="32.1">
      <c r="A113" s="207"/>
      <c r="B113" s="207"/>
      <c r="C113" s="222"/>
      <c r="D113" s="170" t="s">
        <v>331</v>
      </c>
      <c r="E113" s="22" t="s">
        <v>109</v>
      </c>
      <c r="F113" s="48" t="s">
        <v>332</v>
      </c>
      <c r="G113" s="154" t="s">
        <v>331</v>
      </c>
      <c r="H113" s="26" t="str">
        <f t="shared" si="13"/>
        <v>Confirm if the COO &amp;  CFO has approved the PR and the approver name captured in Approver fields</v>
      </c>
      <c r="I113" s="26"/>
      <c r="J113" s="26"/>
      <c r="K113" s="22"/>
      <c r="L113" s="22"/>
      <c r="M113" s="22"/>
      <c r="N113" s="22"/>
      <c r="O113" s="22"/>
      <c r="P113" s="35"/>
      <c r="Q113" s="22"/>
      <c r="R113" s="22"/>
      <c r="S113" s="166" t="s">
        <v>209</v>
      </c>
    </row>
    <row r="114" spans="1:19">
      <c r="A114" s="208"/>
      <c r="B114" s="208"/>
      <c r="C114" s="223"/>
      <c r="D114" s="170" t="s">
        <v>334</v>
      </c>
      <c r="E114" s="22" t="s">
        <v>167</v>
      </c>
      <c r="F114" s="48" t="s">
        <v>335</v>
      </c>
      <c r="G114" s="154" t="s">
        <v>334</v>
      </c>
      <c r="H114" s="26" t="str">
        <f t="shared" si="13"/>
        <v>Confirm if the CEO has approved the PR and the approver name captured in Approver fields</v>
      </c>
      <c r="I114" s="26"/>
      <c r="J114" s="26"/>
      <c r="K114" s="22"/>
      <c r="L114" s="22"/>
      <c r="M114" s="22"/>
      <c r="N114" s="22"/>
      <c r="O114" s="22"/>
      <c r="P114" s="35"/>
      <c r="Q114" s="22"/>
      <c r="R114" s="22"/>
      <c r="S114" s="166" t="s">
        <v>209</v>
      </c>
    </row>
    <row r="115" spans="1:19">
      <c r="A115" s="209" t="s">
        <v>396</v>
      </c>
      <c r="B115" s="210"/>
      <c r="C115" s="210"/>
      <c r="D115" s="210"/>
      <c r="E115" s="210"/>
      <c r="F115" s="210"/>
      <c r="G115" s="210"/>
      <c r="H115" s="210"/>
      <c r="I115" s="210"/>
      <c r="J115" s="210"/>
      <c r="K115" s="210"/>
      <c r="L115" s="210"/>
      <c r="M115" s="210"/>
      <c r="N115" s="210"/>
      <c r="O115" s="210"/>
      <c r="P115" s="210"/>
      <c r="Q115" s="210"/>
      <c r="R115" s="210"/>
      <c r="S115" s="211"/>
    </row>
    <row r="116" spans="1:19" ht="32.1">
      <c r="A116" s="206" t="s">
        <v>397</v>
      </c>
      <c r="B116" s="206"/>
      <c r="C116" s="221" t="s">
        <v>398</v>
      </c>
      <c r="D116" s="147" t="s">
        <v>399</v>
      </c>
      <c r="E116" s="22" t="s">
        <v>20</v>
      </c>
      <c r="F116" s="48" t="s">
        <v>329</v>
      </c>
      <c r="G116" s="30" t="s">
        <v>399</v>
      </c>
      <c r="H116" s="26" t="str">
        <f t="shared" ref="H116:H118" si="14">_xlfn.CONCAT("Confirm if the ",D116," ", "has approved the PR and the approver name captured in Approver fields")</f>
        <v>Confirm if the Chief Marketing Officer has approved the PR and the approver name captured in Approver fields</v>
      </c>
      <c r="I116" s="26"/>
      <c r="J116" s="26"/>
      <c r="K116" s="22"/>
      <c r="L116" s="22"/>
      <c r="M116" s="22"/>
      <c r="N116" s="22"/>
      <c r="O116" s="22"/>
      <c r="P116" s="35"/>
      <c r="Q116" s="22"/>
      <c r="R116" s="22"/>
      <c r="S116" s="166" t="s">
        <v>209</v>
      </c>
    </row>
    <row r="117" spans="1:19" ht="32.1">
      <c r="A117" s="207"/>
      <c r="B117" s="207"/>
      <c r="C117" s="222"/>
      <c r="D117" s="147" t="s">
        <v>331</v>
      </c>
      <c r="E117" s="22" t="s">
        <v>109</v>
      </c>
      <c r="F117" s="48" t="s">
        <v>332</v>
      </c>
      <c r="G117" s="30" t="s">
        <v>331</v>
      </c>
      <c r="H117" s="26" t="str">
        <f t="shared" si="14"/>
        <v>Confirm if the COO &amp;  CFO has approved the PR and the approver name captured in Approver fields</v>
      </c>
      <c r="I117" s="26"/>
      <c r="J117" s="26"/>
      <c r="K117" s="22"/>
      <c r="L117" s="22"/>
      <c r="M117" s="22"/>
      <c r="N117" s="22"/>
      <c r="O117" s="22"/>
      <c r="P117" s="35"/>
      <c r="Q117" s="22"/>
      <c r="R117" s="22"/>
      <c r="S117" s="166" t="s">
        <v>209</v>
      </c>
    </row>
    <row r="118" spans="1:19">
      <c r="A118" s="208"/>
      <c r="B118" s="208"/>
      <c r="C118" s="223"/>
      <c r="D118" s="147" t="s">
        <v>334</v>
      </c>
      <c r="E118" s="22" t="s">
        <v>167</v>
      </c>
      <c r="F118" s="48" t="s">
        <v>335</v>
      </c>
      <c r="G118" s="30" t="s">
        <v>334</v>
      </c>
      <c r="H118" s="26" t="str">
        <f t="shared" si="14"/>
        <v>Confirm if the CEO has approved the PR and the approver name captured in Approver fields</v>
      </c>
      <c r="I118" s="26"/>
      <c r="J118" s="26"/>
      <c r="K118" s="22"/>
      <c r="L118" s="22"/>
      <c r="M118" s="22"/>
      <c r="N118" s="22"/>
      <c r="O118" s="22"/>
      <c r="P118" s="35"/>
      <c r="Q118" s="22"/>
      <c r="R118" s="22"/>
      <c r="S118" s="166" t="s">
        <v>209</v>
      </c>
    </row>
    <row r="119" spans="1:19">
      <c r="A119" s="209" t="s">
        <v>400</v>
      </c>
      <c r="B119" s="210"/>
      <c r="C119" s="210"/>
      <c r="D119" s="210"/>
      <c r="E119" s="210"/>
      <c r="F119" s="210"/>
      <c r="G119" s="210"/>
      <c r="H119" s="210"/>
      <c r="I119" s="210"/>
      <c r="J119" s="210"/>
      <c r="K119" s="210"/>
      <c r="L119" s="210"/>
      <c r="M119" s="210"/>
      <c r="N119" s="210"/>
      <c r="O119" s="210"/>
      <c r="P119" s="210"/>
      <c r="Q119" s="210"/>
      <c r="R119" s="210"/>
      <c r="S119" s="214"/>
    </row>
    <row r="120" spans="1:19" ht="46.5" customHeight="1">
      <c r="A120" s="213" t="s">
        <v>401</v>
      </c>
      <c r="B120" s="206"/>
      <c r="C120" s="221" t="s">
        <v>398</v>
      </c>
      <c r="D120" s="147" t="s">
        <v>399</v>
      </c>
      <c r="E120" s="22" t="s">
        <v>20</v>
      </c>
      <c r="F120" s="48" t="s">
        <v>329</v>
      </c>
      <c r="G120" s="30" t="s">
        <v>403</v>
      </c>
      <c r="H120" s="26" t="str">
        <f t="shared" ref="H120:H122" si="15">_xlfn.CONCAT("Confirm if the ",D120," ", "has approved the PR and the approver name captured in Approver fields")</f>
        <v>Confirm if the Chief Marketing Officer has approved the PR and the approver name captured in Approver fields</v>
      </c>
      <c r="I120" s="26"/>
      <c r="J120" s="26"/>
      <c r="K120" s="22"/>
      <c r="L120" s="22"/>
      <c r="M120" s="22"/>
      <c r="N120" s="22"/>
      <c r="O120" s="22"/>
      <c r="P120" s="35"/>
      <c r="Q120" s="22"/>
      <c r="R120" s="22"/>
      <c r="S120" s="166" t="s">
        <v>209</v>
      </c>
    </row>
    <row r="121" spans="1:19" ht="32.1">
      <c r="A121" s="213"/>
      <c r="B121" s="207"/>
      <c r="C121" s="222"/>
      <c r="D121" s="147" t="s">
        <v>331</v>
      </c>
      <c r="E121" s="22" t="s">
        <v>109</v>
      </c>
      <c r="F121" s="48" t="s">
        <v>332</v>
      </c>
      <c r="G121" s="30" t="s">
        <v>331</v>
      </c>
      <c r="H121" s="26" t="str">
        <f t="shared" si="15"/>
        <v>Confirm if the COO &amp;  CFO has approved the PR and the approver name captured in Approver fields</v>
      </c>
      <c r="I121" s="26"/>
      <c r="J121" s="26"/>
      <c r="K121" s="22"/>
      <c r="L121" s="22"/>
      <c r="M121" s="22"/>
      <c r="N121" s="22"/>
      <c r="O121" s="22"/>
      <c r="P121" s="35"/>
      <c r="Q121" s="22"/>
      <c r="R121" s="22"/>
      <c r="S121" s="166" t="s">
        <v>209</v>
      </c>
    </row>
    <row r="122" spans="1:19">
      <c r="A122" s="213"/>
      <c r="B122" s="208"/>
      <c r="C122" s="223"/>
      <c r="D122" s="147" t="s">
        <v>334</v>
      </c>
      <c r="E122" s="22" t="s">
        <v>167</v>
      </c>
      <c r="F122" s="48" t="s">
        <v>335</v>
      </c>
      <c r="G122" s="30" t="s">
        <v>334</v>
      </c>
      <c r="H122" s="26" t="str">
        <f t="shared" si="15"/>
        <v>Confirm if the CEO has approved the PR and the approver name captured in Approver fields</v>
      </c>
      <c r="I122" s="26"/>
      <c r="J122" s="26"/>
      <c r="K122" s="22"/>
      <c r="L122" s="22"/>
      <c r="M122" s="22"/>
      <c r="N122" s="22"/>
      <c r="O122" s="22"/>
      <c r="P122" s="35"/>
      <c r="Q122" s="22"/>
      <c r="R122" s="22"/>
      <c r="S122" s="166" t="s">
        <v>209</v>
      </c>
    </row>
    <row r="123" spans="1:19">
      <c r="A123" s="209" t="s">
        <v>404</v>
      </c>
      <c r="B123" s="210"/>
      <c r="C123" s="210"/>
      <c r="D123" s="210"/>
      <c r="E123" s="210"/>
      <c r="F123" s="210"/>
      <c r="G123" s="210"/>
      <c r="H123" s="210"/>
      <c r="I123" s="210"/>
      <c r="J123" s="210"/>
      <c r="K123" s="210"/>
      <c r="L123" s="210"/>
      <c r="M123" s="210"/>
      <c r="N123" s="210"/>
      <c r="O123" s="210"/>
      <c r="P123" s="210"/>
      <c r="Q123" s="210"/>
      <c r="R123" s="210"/>
      <c r="S123" s="214"/>
    </row>
    <row r="124" spans="1:19" ht="32.1">
      <c r="A124" s="213" t="s">
        <v>405</v>
      </c>
      <c r="B124" s="206"/>
      <c r="C124" s="212" t="s">
        <v>406</v>
      </c>
      <c r="D124" s="147" t="s">
        <v>340</v>
      </c>
      <c r="E124" s="22" t="s">
        <v>20</v>
      </c>
      <c r="F124" s="29" t="s">
        <v>341</v>
      </c>
      <c r="G124" s="30" t="s">
        <v>340</v>
      </c>
      <c r="H124" s="26" t="str">
        <f t="shared" ref="H124:H135" si="16">_xlfn.CONCAT("Confirm if the ",D124," ", "has approved the PR and the approver name captured in Approver fields")</f>
        <v>Confirm if the Director / Senior Director has approved the PR and the approver name captured in Approver fields</v>
      </c>
      <c r="I124" s="26"/>
      <c r="J124" s="26"/>
      <c r="K124" s="22"/>
      <c r="L124" s="22"/>
      <c r="M124" s="22"/>
      <c r="N124" s="22"/>
      <c r="O124" s="22"/>
      <c r="P124" s="35"/>
      <c r="Q124" s="22"/>
      <c r="R124" s="22"/>
      <c r="S124" s="166" t="s">
        <v>209</v>
      </c>
    </row>
    <row r="125" spans="1:19" ht="32.1">
      <c r="A125" s="213"/>
      <c r="B125" s="207"/>
      <c r="C125" s="212"/>
      <c r="D125" s="147" t="s">
        <v>407</v>
      </c>
      <c r="E125" s="22" t="s">
        <v>109</v>
      </c>
      <c r="F125" s="29" t="s">
        <v>343</v>
      </c>
      <c r="G125" s="30" t="s">
        <v>407</v>
      </c>
      <c r="H125" s="26" t="str">
        <f t="shared" si="16"/>
        <v>Confirm if the SVP &amp; Global Head - Risk has approved the PR and the approver name captured in Approver fields</v>
      </c>
      <c r="I125" s="26"/>
      <c r="J125" s="26"/>
      <c r="K125" s="22"/>
      <c r="L125" s="22"/>
      <c r="M125" s="22"/>
      <c r="N125" s="22"/>
      <c r="O125" s="22"/>
      <c r="P125" s="35"/>
      <c r="Q125" s="22"/>
      <c r="R125" s="22"/>
      <c r="S125" s="166" t="s">
        <v>209</v>
      </c>
    </row>
    <row r="126" spans="1:19" ht="32.1">
      <c r="A126" s="213"/>
      <c r="B126" s="207"/>
      <c r="C126" s="212"/>
      <c r="D126" s="147" t="s">
        <v>331</v>
      </c>
      <c r="E126" s="22" t="s">
        <v>167</v>
      </c>
      <c r="F126" s="29" t="s">
        <v>332</v>
      </c>
      <c r="G126" s="30" t="s">
        <v>331</v>
      </c>
      <c r="H126" s="26" t="str">
        <f t="shared" si="16"/>
        <v>Confirm if the COO &amp;  CFO has approved the PR and the approver name captured in Approver fields</v>
      </c>
      <c r="I126" s="26"/>
      <c r="J126" s="26"/>
      <c r="K126" s="22"/>
      <c r="L126" s="22"/>
      <c r="M126" s="22"/>
      <c r="N126" s="22"/>
      <c r="O126" s="22"/>
      <c r="P126" s="35"/>
      <c r="Q126" s="22"/>
      <c r="R126" s="22"/>
      <c r="S126" s="166" t="s">
        <v>209</v>
      </c>
    </row>
    <row r="127" spans="1:19">
      <c r="A127" s="213"/>
      <c r="B127" s="208"/>
      <c r="C127" s="212"/>
      <c r="D127" s="147" t="s">
        <v>334</v>
      </c>
      <c r="E127" s="22" t="s">
        <v>170</v>
      </c>
      <c r="F127" s="29" t="s">
        <v>335</v>
      </c>
      <c r="G127" s="30" t="s">
        <v>334</v>
      </c>
      <c r="H127" s="26" t="str">
        <f t="shared" si="16"/>
        <v>Confirm if the CEO has approved the PR and the approver name captured in Approver fields</v>
      </c>
      <c r="I127" s="26"/>
      <c r="J127" s="26"/>
      <c r="K127" s="22"/>
      <c r="L127" s="22"/>
      <c r="M127" s="22"/>
      <c r="N127" s="22"/>
      <c r="O127" s="22"/>
      <c r="P127" s="35"/>
      <c r="Q127" s="22"/>
      <c r="R127" s="22"/>
      <c r="S127" s="166" t="s">
        <v>209</v>
      </c>
    </row>
    <row r="128" spans="1:19">
      <c r="A128" s="209" t="s">
        <v>408</v>
      </c>
      <c r="B128" s="210"/>
      <c r="C128" s="210"/>
      <c r="D128" s="210"/>
      <c r="E128" s="210"/>
      <c r="F128" s="210"/>
      <c r="G128" s="210"/>
      <c r="H128" s="210"/>
      <c r="I128" s="210"/>
      <c r="J128" s="210"/>
      <c r="K128" s="210"/>
      <c r="L128" s="210"/>
      <c r="M128" s="210"/>
      <c r="N128" s="210"/>
      <c r="O128" s="210"/>
      <c r="P128" s="210"/>
      <c r="Q128" s="210"/>
      <c r="R128" s="210"/>
      <c r="S128" s="214"/>
    </row>
    <row r="129" spans="1:22">
      <c r="A129" s="206" t="s">
        <v>409</v>
      </c>
      <c r="B129" s="206"/>
      <c r="C129" s="236" t="s">
        <v>410</v>
      </c>
      <c r="D129" s="171" t="s">
        <v>411</v>
      </c>
      <c r="E129" s="22" t="s">
        <v>20</v>
      </c>
      <c r="F129" s="155" t="s">
        <v>329</v>
      </c>
      <c r="G129" s="156" t="s">
        <v>411</v>
      </c>
      <c r="H129" s="26" t="str">
        <f t="shared" si="16"/>
        <v>Confirm if the VP has approved the PR and the approver name captured in Approver fields</v>
      </c>
      <c r="I129" s="26"/>
      <c r="J129" s="26"/>
      <c r="K129" s="22"/>
      <c r="L129" s="22"/>
      <c r="M129" s="22"/>
      <c r="N129" s="22"/>
      <c r="O129" s="22"/>
      <c r="P129" s="35"/>
      <c r="Q129" s="22"/>
      <c r="R129" s="22"/>
      <c r="S129" s="166" t="s">
        <v>209</v>
      </c>
    </row>
    <row r="130" spans="1:22" ht="32.1">
      <c r="A130" s="207"/>
      <c r="B130" s="207"/>
      <c r="C130" s="237"/>
      <c r="D130" s="171" t="s">
        <v>331</v>
      </c>
      <c r="E130" s="22" t="s">
        <v>109</v>
      </c>
      <c r="F130" s="155" t="s">
        <v>332</v>
      </c>
      <c r="G130" s="156" t="s">
        <v>331</v>
      </c>
      <c r="H130" s="26" t="str">
        <f t="shared" si="16"/>
        <v>Confirm if the COO &amp;  CFO has approved the PR and the approver name captured in Approver fields</v>
      </c>
      <c r="I130" s="26"/>
      <c r="J130" s="26"/>
      <c r="K130" s="22"/>
      <c r="L130" s="22"/>
      <c r="M130" s="22"/>
      <c r="N130" s="22"/>
      <c r="O130" s="22"/>
      <c r="P130" s="35"/>
      <c r="Q130" s="22"/>
      <c r="R130" s="22"/>
      <c r="S130" s="166" t="s">
        <v>209</v>
      </c>
    </row>
    <row r="131" spans="1:22">
      <c r="A131" s="278"/>
      <c r="B131" s="208"/>
      <c r="C131" s="238"/>
      <c r="D131" s="171" t="s">
        <v>334</v>
      </c>
      <c r="E131" s="22" t="s">
        <v>167</v>
      </c>
      <c r="F131" s="155" t="s">
        <v>335</v>
      </c>
      <c r="G131" s="156" t="s">
        <v>334</v>
      </c>
      <c r="H131" s="26" t="str">
        <f t="shared" si="16"/>
        <v>Confirm if the CEO has approved the PR and the approver name captured in Approver fields</v>
      </c>
      <c r="I131" s="26"/>
      <c r="J131" s="26"/>
      <c r="K131" s="22"/>
      <c r="L131" s="22"/>
      <c r="M131" s="22"/>
      <c r="N131" s="22"/>
      <c r="O131" s="22"/>
      <c r="P131" s="35"/>
      <c r="Q131" s="22"/>
      <c r="R131" s="22"/>
      <c r="S131" s="166" t="s">
        <v>209</v>
      </c>
    </row>
    <row r="132" spans="1:22">
      <c r="A132" s="209" t="s">
        <v>412</v>
      </c>
      <c r="B132" s="210"/>
      <c r="C132" s="210"/>
      <c r="D132" s="210"/>
      <c r="E132" s="210"/>
      <c r="F132" s="210"/>
      <c r="G132" s="210"/>
      <c r="H132" s="210"/>
      <c r="I132" s="210"/>
      <c r="J132" s="210"/>
      <c r="K132" s="210"/>
      <c r="L132" s="210"/>
      <c r="M132" s="210"/>
      <c r="N132" s="210"/>
      <c r="O132" s="210"/>
      <c r="P132" s="210"/>
      <c r="Q132" s="210"/>
      <c r="R132" s="210"/>
      <c r="S132" s="214"/>
    </row>
    <row r="133" spans="1:22">
      <c r="A133" s="279" t="s">
        <v>413</v>
      </c>
      <c r="B133" s="239"/>
      <c r="C133" s="239" t="s">
        <v>414</v>
      </c>
      <c r="D133" s="171" t="s">
        <v>415</v>
      </c>
      <c r="E133" s="22" t="s">
        <v>20</v>
      </c>
      <c r="F133" s="155" t="s">
        <v>329</v>
      </c>
      <c r="G133" s="156" t="s">
        <v>415</v>
      </c>
      <c r="H133" s="26" t="str">
        <f t="shared" si="16"/>
        <v>Confirm if the CTO has approved the PR and the approver name captured in Approver fields</v>
      </c>
      <c r="I133" s="155"/>
      <c r="J133" s="155"/>
      <c r="K133" s="155"/>
      <c r="L133" s="155"/>
      <c r="M133" s="155"/>
      <c r="N133" s="155"/>
      <c r="O133" s="155"/>
      <c r="P133" s="155"/>
      <c r="Q133" s="155"/>
      <c r="R133" s="155"/>
      <c r="S133" s="166" t="s">
        <v>209</v>
      </c>
      <c r="T133" s="155"/>
      <c r="U133" s="155"/>
      <c r="V133" s="155"/>
    </row>
    <row r="134" spans="1:22" ht="32.1">
      <c r="A134" s="240"/>
      <c r="B134" s="240"/>
      <c r="C134" s="240"/>
      <c r="D134" s="171" t="s">
        <v>331</v>
      </c>
      <c r="E134" s="22" t="s">
        <v>109</v>
      </c>
      <c r="F134" s="155" t="s">
        <v>332</v>
      </c>
      <c r="G134" s="156" t="s">
        <v>331</v>
      </c>
      <c r="H134" s="26" t="str">
        <f t="shared" si="16"/>
        <v>Confirm if the COO &amp;  CFO has approved the PR and the approver name captured in Approver fields</v>
      </c>
      <c r="I134" s="155"/>
      <c r="J134" s="155"/>
      <c r="K134" s="155"/>
      <c r="L134" s="155"/>
      <c r="M134" s="155"/>
      <c r="N134" s="155"/>
      <c r="O134" s="155"/>
      <c r="P134" s="155"/>
      <c r="Q134" s="155"/>
      <c r="R134" s="155"/>
      <c r="S134" s="166" t="s">
        <v>209</v>
      </c>
      <c r="T134" s="155"/>
      <c r="U134" s="155"/>
      <c r="V134" s="155"/>
    </row>
    <row r="135" spans="1:22">
      <c r="A135" s="241"/>
      <c r="B135" s="241"/>
      <c r="C135" s="241"/>
      <c r="D135" s="171" t="s">
        <v>334</v>
      </c>
      <c r="E135" s="22" t="s">
        <v>167</v>
      </c>
      <c r="F135" s="155" t="s">
        <v>335</v>
      </c>
      <c r="G135" s="156" t="s">
        <v>334</v>
      </c>
      <c r="H135" s="26" t="str">
        <f t="shared" si="16"/>
        <v>Confirm if the CEO has approved the PR and the approver name captured in Approver fields</v>
      </c>
      <c r="I135" s="155"/>
      <c r="J135" s="155"/>
      <c r="K135" s="155"/>
      <c r="L135" s="155"/>
      <c r="M135" s="155"/>
      <c r="N135" s="155"/>
      <c r="O135" s="155"/>
      <c r="P135" s="155"/>
      <c r="Q135" s="155"/>
      <c r="R135" s="155"/>
      <c r="S135" s="166" t="s">
        <v>209</v>
      </c>
      <c r="T135" s="155"/>
      <c r="U135" s="155"/>
      <c r="V135" s="155"/>
    </row>
    <row r="136" spans="1:22" ht="63.95">
      <c r="A136" s="206" t="s">
        <v>416</v>
      </c>
      <c r="B136" s="21"/>
      <c r="C136" s="29" t="s">
        <v>417</v>
      </c>
      <c r="D136" s="35" t="s">
        <v>418</v>
      </c>
      <c r="E136" s="22" t="s">
        <v>20</v>
      </c>
      <c r="F136" s="31" t="s">
        <v>419</v>
      </c>
      <c r="G136" s="25" t="str">
        <f>_xlfn.CONCAT(D136, " will approve the PR")</f>
        <v>CFO will approve the PR</v>
      </c>
      <c r="H136" s="26" t="str">
        <f>_xlfn.CONCAT("Confirm if ",D136," approved the PR")</f>
        <v>Confirm if CFO approved the PR</v>
      </c>
      <c r="I136" s="26"/>
      <c r="J136" s="26"/>
      <c r="K136" s="22"/>
      <c r="L136" s="22"/>
      <c r="M136" s="22"/>
      <c r="N136" s="22"/>
      <c r="O136" s="22"/>
      <c r="P136" s="35"/>
      <c r="Q136" s="22"/>
      <c r="R136" s="22"/>
      <c r="S136" s="166" t="s">
        <v>209</v>
      </c>
    </row>
    <row r="137" spans="1:22" ht="63.95">
      <c r="A137" s="207"/>
      <c r="B137" s="21"/>
      <c r="C137" s="29" t="s">
        <v>420</v>
      </c>
      <c r="D137" s="35" t="s">
        <v>421</v>
      </c>
      <c r="E137" s="22" t="s">
        <v>20</v>
      </c>
      <c r="F137" s="31" t="s">
        <v>422</v>
      </c>
      <c r="G137" s="25" t="str">
        <f t="shared" ref="G137:G146" si="17">_xlfn.CONCAT(D137, " will approve the PR")</f>
        <v>FPA &amp; CFO will approve the PR</v>
      </c>
      <c r="H137" s="26" t="str">
        <f t="shared" ref="H137:H146" si="18">_xlfn.CONCAT("Confirm if ",D137," approved the PR")</f>
        <v>Confirm if FPA &amp; CFO approved the PR</v>
      </c>
      <c r="I137" s="26"/>
      <c r="J137" s="26"/>
      <c r="K137" s="22"/>
      <c r="L137" s="22"/>
      <c r="M137" s="22"/>
      <c r="N137" s="22"/>
      <c r="O137" s="22"/>
      <c r="P137" s="35"/>
      <c r="Q137" s="22"/>
      <c r="R137" s="22"/>
      <c r="S137" s="166" t="s">
        <v>209</v>
      </c>
    </row>
    <row r="138" spans="1:22" ht="63.95">
      <c r="A138" s="207"/>
      <c r="B138" s="21"/>
      <c r="C138" s="29" t="s">
        <v>423</v>
      </c>
      <c r="D138" s="35" t="s">
        <v>424</v>
      </c>
      <c r="E138" s="22" t="s">
        <v>20</v>
      </c>
      <c r="F138" s="31" t="s">
        <v>425</v>
      </c>
      <c r="G138" s="25" t="str">
        <f t="shared" si="17"/>
        <v xml:space="preserve"> FPA will approve the PR</v>
      </c>
      <c r="H138" s="26" t="str">
        <f t="shared" si="18"/>
        <v>Confirm if  FPA approved the PR</v>
      </c>
      <c r="I138" s="26"/>
      <c r="J138" s="26"/>
      <c r="K138" s="22"/>
      <c r="L138" s="22"/>
      <c r="M138" s="22"/>
      <c r="N138" s="22"/>
      <c r="O138" s="22"/>
      <c r="P138" s="35"/>
      <c r="Q138" s="22"/>
      <c r="R138" s="22"/>
      <c r="S138" s="166" t="s">
        <v>209</v>
      </c>
    </row>
    <row r="139" spans="1:22" ht="63.95">
      <c r="A139" s="207"/>
      <c r="B139" s="21"/>
      <c r="C139" s="29" t="s">
        <v>426</v>
      </c>
      <c r="D139" s="35" t="s">
        <v>368</v>
      </c>
      <c r="E139" s="22" t="s">
        <v>20</v>
      </c>
      <c r="F139" s="31" t="s">
        <v>427</v>
      </c>
      <c r="G139" s="25" t="str">
        <f t="shared" si="17"/>
        <v>Corporate Controller will approve the PR</v>
      </c>
      <c r="H139" s="26" t="str">
        <f t="shared" si="18"/>
        <v>Confirm if Corporate Controller approved the PR</v>
      </c>
      <c r="I139" s="26"/>
      <c r="J139" s="26"/>
      <c r="K139" s="22"/>
      <c r="L139" s="22"/>
      <c r="M139" s="22"/>
      <c r="N139" s="22"/>
      <c r="O139" s="22"/>
      <c r="P139" s="35"/>
      <c r="Q139" s="22"/>
      <c r="R139" s="22"/>
      <c r="S139" s="166" t="s">
        <v>209</v>
      </c>
    </row>
    <row r="140" spans="1:22" ht="63.95">
      <c r="A140" s="207"/>
      <c r="B140" s="21"/>
      <c r="C140" s="29" t="s">
        <v>428</v>
      </c>
      <c r="D140" s="35" t="s">
        <v>429</v>
      </c>
      <c r="E140" s="22" t="s">
        <v>20</v>
      </c>
      <c r="F140" s="31" t="s">
        <v>430</v>
      </c>
      <c r="G140" s="25" t="str">
        <f>_xlfn.CONCAT(D140, " will approve the PR")</f>
        <v>Corporate Controller &amp; CFO will approve the PR</v>
      </c>
      <c r="H140" s="26" t="str">
        <f t="shared" si="18"/>
        <v>Confirm if Corporate Controller &amp; CFO approved the PR</v>
      </c>
      <c r="I140" s="26"/>
      <c r="J140" s="26"/>
      <c r="K140" s="22"/>
      <c r="L140" s="22"/>
      <c r="M140" s="22"/>
      <c r="N140" s="22"/>
      <c r="O140" s="22"/>
      <c r="P140" s="35"/>
      <c r="Q140" s="22"/>
      <c r="R140" s="22"/>
      <c r="S140" s="166" t="s">
        <v>209</v>
      </c>
    </row>
    <row r="141" spans="1:22" ht="63.95">
      <c r="A141" s="207"/>
      <c r="B141" s="21"/>
      <c r="C141" s="29" t="s">
        <v>428</v>
      </c>
      <c r="D141" s="35" t="s">
        <v>431</v>
      </c>
      <c r="E141" s="22" t="s">
        <v>20</v>
      </c>
      <c r="F141" s="31" t="s">
        <v>432</v>
      </c>
      <c r="G141" s="25" t="str">
        <f t="shared" si="17"/>
        <v>COO &amp; CFO will approve the PR</v>
      </c>
      <c r="H141" s="26" t="str">
        <f t="shared" si="18"/>
        <v>Confirm if COO &amp; CFO approved the PR</v>
      </c>
      <c r="I141" s="26"/>
      <c r="J141" s="26"/>
      <c r="K141" s="22"/>
      <c r="L141" s="22"/>
      <c r="M141" s="22"/>
      <c r="N141" s="22"/>
      <c r="O141" s="22"/>
      <c r="P141" s="35"/>
      <c r="Q141" s="22"/>
      <c r="R141" s="22"/>
      <c r="S141" s="166" t="s">
        <v>209</v>
      </c>
    </row>
    <row r="142" spans="1:22" ht="80.099999999999994">
      <c r="A142" s="207"/>
      <c r="B142" s="21"/>
      <c r="C142" s="29" t="s">
        <v>426</v>
      </c>
      <c r="D142" s="35" t="s">
        <v>433</v>
      </c>
      <c r="E142" s="22" t="s">
        <v>20</v>
      </c>
      <c r="F142" s="31" t="s">
        <v>434</v>
      </c>
      <c r="G142" s="25" t="str">
        <f t="shared" si="17"/>
        <v>COO will approve the PR</v>
      </c>
      <c r="H142" s="26" t="str">
        <f t="shared" si="18"/>
        <v>Confirm if COO approved the PR</v>
      </c>
      <c r="I142" s="26"/>
      <c r="J142" s="26"/>
      <c r="K142" s="22"/>
      <c r="L142" s="22"/>
      <c r="M142" s="22"/>
      <c r="N142" s="22"/>
      <c r="O142" s="22"/>
      <c r="P142" s="35"/>
      <c r="Q142" s="22"/>
      <c r="R142" s="22"/>
      <c r="S142" s="166" t="s">
        <v>209</v>
      </c>
    </row>
    <row r="143" spans="1:22" ht="63.95">
      <c r="A143" s="207"/>
      <c r="B143" s="21"/>
      <c r="C143" s="29" t="s">
        <v>435</v>
      </c>
      <c r="D143" s="35" t="s">
        <v>436</v>
      </c>
      <c r="E143" s="22" t="s">
        <v>20</v>
      </c>
      <c r="F143" s="31" t="s">
        <v>437</v>
      </c>
      <c r="G143" s="25" t="str">
        <f t="shared" si="17"/>
        <v xml:space="preserve"> FPA, Corporate Controller &amp; CFO will approve the PR</v>
      </c>
      <c r="H143" s="26" t="str">
        <f t="shared" si="18"/>
        <v>Confirm if  FPA, Corporate Controller &amp; CFO approved the PR</v>
      </c>
      <c r="I143" s="26"/>
      <c r="J143" s="26"/>
      <c r="K143" s="22"/>
      <c r="L143" s="22"/>
      <c r="M143" s="22"/>
      <c r="N143" s="22"/>
      <c r="O143" s="22"/>
      <c r="P143" s="35"/>
      <c r="Q143" s="22"/>
      <c r="R143" s="22"/>
      <c r="S143" s="166" t="s">
        <v>209</v>
      </c>
    </row>
    <row r="144" spans="1:22" ht="63.95">
      <c r="A144" s="207"/>
      <c r="B144" s="21"/>
      <c r="C144" s="29" t="s">
        <v>438</v>
      </c>
      <c r="D144" s="35" t="s">
        <v>439</v>
      </c>
      <c r="E144" s="22" t="s">
        <v>20</v>
      </c>
      <c r="F144" s="31" t="s">
        <v>440</v>
      </c>
      <c r="G144" s="25" t="str">
        <f t="shared" si="17"/>
        <v>FPA &amp; Corporate Controller will approve the PR</v>
      </c>
      <c r="H144" s="26" t="str">
        <f t="shared" si="18"/>
        <v>Confirm if FPA &amp; Corporate Controller approved the PR</v>
      </c>
      <c r="I144" s="26"/>
      <c r="J144" s="26"/>
      <c r="K144" s="22"/>
      <c r="L144" s="22"/>
      <c r="M144" s="22"/>
      <c r="N144" s="22"/>
      <c r="O144" s="22"/>
      <c r="P144" s="35"/>
      <c r="Q144" s="22"/>
      <c r="R144" s="22"/>
      <c r="S144" s="166" t="s">
        <v>209</v>
      </c>
    </row>
    <row r="145" spans="1:19" ht="80.099999999999994">
      <c r="A145" s="207"/>
      <c r="B145" s="21"/>
      <c r="C145" s="29" t="s">
        <v>435</v>
      </c>
      <c r="D145" s="35" t="s">
        <v>441</v>
      </c>
      <c r="E145" s="22" t="s">
        <v>20</v>
      </c>
      <c r="F145" s="31" t="s">
        <v>442</v>
      </c>
      <c r="G145" s="25" t="str">
        <f t="shared" si="17"/>
        <v>FPA, COO, &amp; CFO will approve the PR</v>
      </c>
      <c r="H145" s="26" t="str">
        <f t="shared" si="18"/>
        <v>Confirm if FPA, COO, &amp; CFO approved the PR</v>
      </c>
      <c r="I145" s="26"/>
      <c r="J145" s="26"/>
      <c r="K145" s="22"/>
      <c r="L145" s="22"/>
      <c r="M145" s="22"/>
      <c r="N145" s="22"/>
      <c r="O145" s="22"/>
      <c r="P145" s="35"/>
      <c r="Q145" s="22"/>
      <c r="R145" s="22"/>
      <c r="S145" s="166" t="s">
        <v>209</v>
      </c>
    </row>
    <row r="146" spans="1:19" ht="80.099999999999994">
      <c r="A146" s="208"/>
      <c r="B146" s="21"/>
      <c r="C146" s="29" t="s">
        <v>438</v>
      </c>
      <c r="D146" s="35" t="s">
        <v>443</v>
      </c>
      <c r="E146" s="22" t="s">
        <v>20</v>
      </c>
      <c r="F146" s="31" t="s">
        <v>444</v>
      </c>
      <c r="G146" s="25" t="str">
        <f t="shared" si="17"/>
        <v>FPA &amp; COO will approve the PR</v>
      </c>
      <c r="H146" s="26" t="str">
        <f t="shared" si="18"/>
        <v>Confirm if FPA &amp; COO approved the PR</v>
      </c>
      <c r="I146" s="26"/>
      <c r="J146" s="26"/>
      <c r="K146" s="22"/>
      <c r="L146" s="22"/>
      <c r="M146" s="22"/>
      <c r="N146" s="22"/>
      <c r="O146" s="22"/>
      <c r="P146" s="35"/>
      <c r="Q146" s="22"/>
      <c r="R146" s="22"/>
      <c r="S146" s="166" t="s">
        <v>209</v>
      </c>
    </row>
    <row r="147" spans="1:19">
      <c r="A147" s="209" t="s">
        <v>445</v>
      </c>
      <c r="B147" s="219"/>
      <c r="C147" s="219"/>
      <c r="D147" s="219"/>
      <c r="E147" s="219"/>
      <c r="F147" s="219"/>
      <c r="G147" s="219"/>
      <c r="H147" s="219"/>
      <c r="I147" s="219"/>
      <c r="J147" s="219"/>
      <c r="K147" s="219"/>
      <c r="L147" s="219"/>
      <c r="M147" s="219"/>
      <c r="N147" s="219"/>
      <c r="O147" s="219"/>
      <c r="P147" s="219"/>
      <c r="Q147" s="219"/>
      <c r="R147" s="219"/>
      <c r="S147" s="220"/>
    </row>
    <row r="148" spans="1:19" ht="32.1">
      <c r="A148" s="206" t="s">
        <v>446</v>
      </c>
      <c r="B148" s="206"/>
      <c r="C148" s="234" t="s">
        <v>294</v>
      </c>
      <c r="D148" s="227" t="s">
        <v>295</v>
      </c>
      <c r="E148" s="22" t="s">
        <v>20</v>
      </c>
      <c r="F148" s="234" t="s">
        <v>294</v>
      </c>
      <c r="G148" s="25" t="s">
        <v>296</v>
      </c>
      <c r="H148" s="26" t="s">
        <v>297</v>
      </c>
      <c r="I148" s="26"/>
      <c r="J148" s="26"/>
      <c r="K148" s="22"/>
      <c r="L148" s="22"/>
      <c r="M148" s="22"/>
      <c r="N148" s="22"/>
      <c r="O148" s="22"/>
      <c r="P148" s="35"/>
      <c r="Q148" s="22"/>
      <c r="R148" s="22"/>
      <c r="S148" s="166" t="s">
        <v>209</v>
      </c>
    </row>
    <row r="149" spans="1:19">
      <c r="A149" s="207"/>
      <c r="B149" s="207"/>
      <c r="C149" s="242"/>
      <c r="D149" s="228"/>
      <c r="E149" s="22" t="s">
        <v>109</v>
      </c>
      <c r="F149" s="242"/>
      <c r="G149" s="25" t="s">
        <v>298</v>
      </c>
      <c r="H149" s="26" t="s">
        <v>299</v>
      </c>
      <c r="I149" s="26"/>
      <c r="J149" s="26"/>
      <c r="K149" s="22"/>
      <c r="L149" s="22"/>
      <c r="M149" s="22"/>
      <c r="N149" s="22"/>
      <c r="O149" s="22"/>
      <c r="P149" s="35"/>
      <c r="Q149" s="22"/>
      <c r="R149" s="22"/>
      <c r="S149" s="166" t="s">
        <v>209</v>
      </c>
    </row>
    <row r="150" spans="1:19">
      <c r="A150" s="207"/>
      <c r="B150" s="207"/>
      <c r="C150" s="242"/>
      <c r="D150" s="228"/>
      <c r="E150" s="51" t="s">
        <v>167</v>
      </c>
      <c r="F150" s="242"/>
      <c r="G150" s="79" t="s">
        <v>300</v>
      </c>
      <c r="H150" s="80" t="s">
        <v>301</v>
      </c>
      <c r="I150" s="80"/>
      <c r="J150" s="80"/>
      <c r="K150" s="51"/>
      <c r="L150" s="51"/>
      <c r="M150" s="51"/>
      <c r="N150" s="51"/>
      <c r="O150" s="51"/>
      <c r="P150" s="47"/>
      <c r="Q150" s="51"/>
      <c r="R150" s="51"/>
      <c r="S150" s="166" t="s">
        <v>209</v>
      </c>
    </row>
    <row r="151" spans="1:19" ht="32.1">
      <c r="A151" s="208"/>
      <c r="B151" s="208"/>
      <c r="C151" s="235"/>
      <c r="D151" s="248"/>
      <c r="E151" s="22" t="s">
        <v>170</v>
      </c>
      <c r="F151" s="243"/>
      <c r="G151" s="25" t="s">
        <v>302</v>
      </c>
      <c r="H151" s="26" t="s">
        <v>303</v>
      </c>
      <c r="I151" s="26"/>
      <c r="J151" s="26"/>
      <c r="K151" s="22"/>
      <c r="L151" s="22"/>
      <c r="M151" s="22"/>
      <c r="N151" s="22"/>
      <c r="O151" s="22"/>
      <c r="P151" s="35"/>
      <c r="Q151" s="22"/>
      <c r="R151" s="22"/>
      <c r="S151" s="166" t="s">
        <v>209</v>
      </c>
    </row>
    <row r="152" spans="1:19">
      <c r="A152" s="209" t="s">
        <v>447</v>
      </c>
      <c r="B152" s="210"/>
      <c r="C152" s="210"/>
      <c r="D152" s="210"/>
      <c r="E152" s="210"/>
      <c r="F152" s="210"/>
      <c r="G152" s="210"/>
      <c r="H152" s="210"/>
      <c r="I152" s="210"/>
      <c r="J152" s="210"/>
      <c r="K152" s="210"/>
      <c r="L152" s="210"/>
      <c r="M152" s="210"/>
      <c r="N152" s="210"/>
      <c r="O152" s="210"/>
      <c r="P152" s="210"/>
      <c r="Q152" s="210"/>
      <c r="R152" s="210"/>
      <c r="S152" s="214"/>
    </row>
    <row r="153" spans="1:19" ht="32.1">
      <c r="A153" s="206" t="s">
        <v>448</v>
      </c>
      <c r="B153" s="206"/>
      <c r="C153" s="206" t="s">
        <v>305</v>
      </c>
      <c r="D153" s="35" t="s">
        <v>449</v>
      </c>
      <c r="E153" s="22" t="s">
        <v>20</v>
      </c>
      <c r="F153" s="234" t="s">
        <v>305</v>
      </c>
      <c r="G153" s="25" t="s">
        <v>450</v>
      </c>
      <c r="H153" s="26" t="s">
        <v>451</v>
      </c>
      <c r="I153" s="26"/>
      <c r="J153" s="26"/>
      <c r="K153" s="22"/>
      <c r="L153" s="22"/>
      <c r="M153" s="22"/>
      <c r="N153" s="22"/>
      <c r="O153" s="22"/>
      <c r="P153" s="35"/>
      <c r="Q153" s="22"/>
      <c r="R153" s="22"/>
      <c r="S153" s="166" t="s">
        <v>209</v>
      </c>
    </row>
    <row r="154" spans="1:19" ht="32.1">
      <c r="A154" s="208"/>
      <c r="B154" s="208"/>
      <c r="C154" s="208"/>
      <c r="D154" s="35" t="s">
        <v>449</v>
      </c>
      <c r="E154" s="22"/>
      <c r="F154" s="235"/>
      <c r="G154" s="25" t="s">
        <v>308</v>
      </c>
      <c r="H154" s="26" t="s">
        <v>309</v>
      </c>
      <c r="I154" s="26"/>
      <c r="J154" s="26"/>
      <c r="K154" s="22"/>
      <c r="L154" s="22"/>
      <c r="M154" s="22"/>
      <c r="N154" s="22"/>
      <c r="O154" s="22"/>
      <c r="P154" s="35"/>
      <c r="Q154" s="22"/>
      <c r="R154" s="22"/>
      <c r="S154" s="166" t="s">
        <v>209</v>
      </c>
    </row>
    <row r="155" spans="1:19">
      <c r="A155" s="224" t="s">
        <v>452</v>
      </c>
      <c r="B155" s="244"/>
      <c r="C155" s="244"/>
      <c r="D155" s="244"/>
      <c r="E155" s="244"/>
      <c r="F155" s="244"/>
      <c r="G155" s="244"/>
      <c r="H155" s="244"/>
      <c r="I155" s="244"/>
      <c r="J155" s="244"/>
      <c r="K155" s="244"/>
      <c r="L155" s="244"/>
      <c r="M155" s="244"/>
      <c r="N155" s="244"/>
      <c r="O155" s="244"/>
      <c r="P155" s="244"/>
      <c r="Q155" s="244"/>
      <c r="R155" s="244"/>
      <c r="S155" s="245"/>
    </row>
    <row r="156" spans="1:19" ht="32.1">
      <c r="A156" s="206" t="s">
        <v>453</v>
      </c>
      <c r="B156" s="206"/>
      <c r="C156" s="234" t="s">
        <v>312</v>
      </c>
      <c r="D156" s="227" t="s">
        <v>454</v>
      </c>
      <c r="E156" s="22" t="s">
        <v>20</v>
      </c>
      <c r="F156" s="234" t="s">
        <v>312</v>
      </c>
      <c r="G156" s="25" t="s">
        <v>584</v>
      </c>
      <c r="H156" s="26" t="s">
        <v>585</v>
      </c>
      <c r="I156" s="26"/>
      <c r="J156" s="26"/>
      <c r="K156" s="22"/>
      <c r="L156" s="22"/>
      <c r="M156" s="22"/>
      <c r="N156" s="22"/>
      <c r="O156" s="22"/>
      <c r="P156" s="35"/>
      <c r="Q156" s="22"/>
      <c r="R156" s="22"/>
      <c r="S156" s="166" t="s">
        <v>209</v>
      </c>
    </row>
    <row r="157" spans="1:19" ht="32.1">
      <c r="A157" s="207"/>
      <c r="B157" s="207"/>
      <c r="C157" s="242"/>
      <c r="D157" s="228"/>
      <c r="E157" s="22" t="s">
        <v>109</v>
      </c>
      <c r="F157" s="242"/>
      <c r="G157" s="25" t="s">
        <v>586</v>
      </c>
      <c r="H157" s="26" t="s">
        <v>587</v>
      </c>
      <c r="I157" s="26"/>
      <c r="J157" s="26"/>
      <c r="K157" s="22"/>
      <c r="L157" s="22"/>
      <c r="M157" s="22"/>
      <c r="N157" s="22"/>
      <c r="O157" s="22"/>
      <c r="P157" s="35"/>
      <c r="Q157" s="22"/>
      <c r="R157" s="22"/>
      <c r="S157" s="166" t="s">
        <v>209</v>
      </c>
    </row>
    <row r="158" spans="1:19">
      <c r="A158" s="207"/>
      <c r="B158" s="207"/>
      <c r="C158" s="242"/>
      <c r="D158" s="228"/>
      <c r="E158" s="22" t="s">
        <v>167</v>
      </c>
      <c r="F158" s="242"/>
      <c r="G158" s="25" t="s">
        <v>588</v>
      </c>
      <c r="H158" s="26" t="s">
        <v>589</v>
      </c>
      <c r="I158" s="26"/>
      <c r="J158" s="26"/>
      <c r="K158" s="22"/>
      <c r="L158" s="22"/>
      <c r="M158" s="22"/>
      <c r="N158" s="22"/>
      <c r="O158" s="22"/>
      <c r="P158" s="35"/>
      <c r="Q158" s="22"/>
      <c r="R158" s="22"/>
      <c r="S158" s="166" t="s">
        <v>209</v>
      </c>
    </row>
    <row r="159" spans="1:19" ht="32.1">
      <c r="A159" s="208"/>
      <c r="B159" s="208"/>
      <c r="C159" s="235"/>
      <c r="D159" s="229"/>
      <c r="E159" s="22" t="s">
        <v>170</v>
      </c>
      <c r="F159" s="235"/>
      <c r="G159" s="25" t="s">
        <v>590</v>
      </c>
      <c r="H159" s="26" t="s">
        <v>591</v>
      </c>
      <c r="I159" s="26"/>
      <c r="J159" s="26"/>
      <c r="K159" s="22"/>
      <c r="L159" s="22"/>
      <c r="M159" s="22"/>
      <c r="N159" s="22"/>
      <c r="O159" s="22"/>
      <c r="P159" s="35"/>
      <c r="Q159" s="22"/>
      <c r="R159" s="22"/>
      <c r="S159" s="166" t="s">
        <v>209</v>
      </c>
    </row>
    <row r="160" spans="1:19">
      <c r="A160" s="215" t="s">
        <v>15</v>
      </c>
      <c r="B160" s="216"/>
      <c r="C160" s="216"/>
      <c r="D160" s="216"/>
      <c r="E160" s="216"/>
      <c r="F160" s="216"/>
      <c r="G160" s="216"/>
      <c r="H160" s="216"/>
      <c r="I160" s="216"/>
      <c r="J160" s="216"/>
      <c r="K160" s="216"/>
      <c r="L160" s="216"/>
      <c r="M160" s="216"/>
      <c r="N160" s="216"/>
      <c r="O160" s="216"/>
      <c r="P160" s="216"/>
      <c r="Q160" s="216"/>
      <c r="R160" s="216"/>
      <c r="S160" s="214"/>
    </row>
    <row r="161" spans="1:19" ht="32.1">
      <c r="A161" s="213" t="s">
        <v>455</v>
      </c>
      <c r="B161" s="206">
        <v>5</v>
      </c>
      <c r="C161" s="213" t="s">
        <v>456</v>
      </c>
      <c r="D161" s="232" t="s">
        <v>187</v>
      </c>
      <c r="E161" s="22" t="s">
        <v>20</v>
      </c>
      <c r="F161" s="233" t="s">
        <v>457</v>
      </c>
      <c r="G161" s="25" t="s">
        <v>458</v>
      </c>
      <c r="H161" s="26" t="s">
        <v>459</v>
      </c>
      <c r="I161" s="31"/>
      <c r="J161" s="26"/>
      <c r="K161" s="22"/>
      <c r="L161" s="22"/>
      <c r="M161" s="22"/>
      <c r="N161" s="22"/>
      <c r="O161" s="22"/>
      <c r="P161" s="35"/>
      <c r="Q161" s="22"/>
      <c r="R161" s="22"/>
      <c r="S161" s="22" t="s">
        <v>164</v>
      </c>
    </row>
    <row r="162" spans="1:19">
      <c r="A162" s="213"/>
      <c r="B162" s="207"/>
      <c r="C162" s="213"/>
      <c r="D162" s="232"/>
      <c r="E162" s="22" t="s">
        <v>109</v>
      </c>
      <c r="F162" s="233"/>
      <c r="G162" s="25" t="s">
        <v>461</v>
      </c>
      <c r="H162" s="26"/>
      <c r="I162" s="31"/>
      <c r="J162" s="26"/>
      <c r="K162" s="22"/>
      <c r="L162" s="22"/>
      <c r="M162" s="22"/>
      <c r="N162" s="22"/>
      <c r="O162" s="22"/>
      <c r="P162" s="35"/>
      <c r="Q162" s="22"/>
      <c r="R162" s="22"/>
      <c r="S162" s="22" t="s">
        <v>164</v>
      </c>
    </row>
    <row r="163" spans="1:19" ht="48">
      <c r="A163" s="213"/>
      <c r="B163" s="207"/>
      <c r="C163" s="213"/>
      <c r="D163" s="232"/>
      <c r="E163" s="22" t="s">
        <v>167</v>
      </c>
      <c r="F163" s="233"/>
      <c r="G163" s="28" t="s">
        <v>463</v>
      </c>
      <c r="H163" s="26" t="s">
        <v>464</v>
      </c>
      <c r="I163" s="31"/>
      <c r="J163" s="26"/>
      <c r="K163" s="22"/>
      <c r="L163" s="22"/>
      <c r="M163" s="22"/>
      <c r="N163" s="22"/>
      <c r="O163" s="22"/>
      <c r="P163" s="35"/>
      <c r="Q163" s="22"/>
      <c r="R163" s="22"/>
      <c r="S163" s="22" t="s">
        <v>164</v>
      </c>
    </row>
    <row r="164" spans="1:19">
      <c r="A164" s="213"/>
      <c r="B164" s="207"/>
      <c r="C164" s="213"/>
      <c r="D164" s="232"/>
      <c r="E164" s="22" t="s">
        <v>170</v>
      </c>
      <c r="F164" s="233"/>
      <c r="G164" s="25" t="s">
        <v>466</v>
      </c>
      <c r="H164" s="26" t="s">
        <v>467</v>
      </c>
      <c r="I164" s="31"/>
      <c r="J164" s="26"/>
      <c r="K164" s="22"/>
      <c r="L164" s="22"/>
      <c r="M164" s="22"/>
      <c r="N164" s="22"/>
      <c r="O164" s="22"/>
      <c r="P164" s="35"/>
      <c r="Q164" s="22"/>
      <c r="R164" s="22"/>
      <c r="S164" s="22" t="s">
        <v>164</v>
      </c>
    </row>
    <row r="165" spans="1:19">
      <c r="A165" s="213"/>
      <c r="B165" s="207"/>
      <c r="C165" s="213"/>
      <c r="D165" s="232"/>
      <c r="E165" s="22" t="s">
        <v>173</v>
      </c>
      <c r="F165" s="233"/>
      <c r="G165" s="25" t="s">
        <v>469</v>
      </c>
      <c r="H165" s="26" t="s">
        <v>470</v>
      </c>
      <c r="I165" s="31"/>
      <c r="J165" s="26"/>
      <c r="K165" s="22"/>
      <c r="L165" s="22"/>
      <c r="M165" s="22"/>
      <c r="N165" s="22"/>
      <c r="O165" s="22"/>
      <c r="P165" s="35"/>
      <c r="Q165" s="22"/>
      <c r="R165" s="22"/>
      <c r="S165" s="22" t="s">
        <v>164</v>
      </c>
    </row>
    <row r="166" spans="1:19" ht="32.1">
      <c r="A166" s="213"/>
      <c r="B166" s="207"/>
      <c r="C166" s="213"/>
      <c r="D166" s="232"/>
      <c r="E166" s="22" t="s">
        <v>176</v>
      </c>
      <c r="F166" s="233"/>
      <c r="G166" s="25" t="s">
        <v>472</v>
      </c>
      <c r="H166" s="26" t="s">
        <v>473</v>
      </c>
      <c r="I166" s="31"/>
      <c r="J166" s="26"/>
      <c r="K166" s="22"/>
      <c r="L166" s="22"/>
      <c r="M166" s="22"/>
      <c r="N166" s="22"/>
      <c r="O166" s="22"/>
      <c r="P166" s="35"/>
      <c r="Q166" s="22"/>
      <c r="R166" s="22"/>
      <c r="S166" s="22" t="s">
        <v>164</v>
      </c>
    </row>
    <row r="167" spans="1:19">
      <c r="A167" s="213" t="s">
        <v>475</v>
      </c>
      <c r="B167" s="207"/>
      <c r="C167" s="213"/>
      <c r="D167" s="232" t="s">
        <v>227</v>
      </c>
      <c r="E167" s="22" t="s">
        <v>20</v>
      </c>
      <c r="F167" s="233" t="s">
        <v>476</v>
      </c>
      <c r="G167" s="25" t="s">
        <v>477</v>
      </c>
      <c r="H167" s="26"/>
      <c r="I167" s="31"/>
      <c r="J167" s="26"/>
      <c r="K167" s="22"/>
      <c r="L167" s="22"/>
      <c r="M167" s="22"/>
      <c r="N167" s="22"/>
      <c r="O167" s="22"/>
      <c r="P167" s="35"/>
      <c r="Q167" s="22"/>
      <c r="R167" s="22"/>
      <c r="S167" s="22" t="s">
        <v>209</v>
      </c>
    </row>
    <row r="168" spans="1:19" ht="63.95">
      <c r="A168" s="213"/>
      <c r="B168" s="207"/>
      <c r="C168" s="213"/>
      <c r="D168" s="232"/>
      <c r="E168" s="22" t="s">
        <v>109</v>
      </c>
      <c r="F168" s="233"/>
      <c r="G168" s="28" t="s">
        <v>478</v>
      </c>
      <c r="H168" s="26" t="s">
        <v>464</v>
      </c>
      <c r="I168" s="31"/>
      <c r="J168" s="26"/>
      <c r="K168" s="22"/>
      <c r="L168" s="22"/>
      <c r="M168" s="22"/>
      <c r="N168" s="22"/>
      <c r="O168" s="22"/>
      <c r="P168" s="35"/>
      <c r="Q168" s="22"/>
      <c r="R168" s="22"/>
      <c r="S168" s="22" t="s">
        <v>209</v>
      </c>
    </row>
    <row r="169" spans="1:19" ht="48">
      <c r="A169" s="213"/>
      <c r="B169" s="208"/>
      <c r="C169" s="213"/>
      <c r="D169" s="232"/>
      <c r="E169" s="22" t="s">
        <v>167</v>
      </c>
      <c r="F169" s="233"/>
      <c r="G169" s="55" t="s">
        <v>479</v>
      </c>
      <c r="H169" s="26" t="s">
        <v>480</v>
      </c>
      <c r="I169" s="31"/>
      <c r="J169" s="26"/>
      <c r="K169" s="22"/>
      <c r="L169" s="22"/>
      <c r="M169" s="22"/>
      <c r="N169" s="22"/>
      <c r="O169" s="22"/>
      <c r="P169" s="35"/>
      <c r="Q169" s="22"/>
      <c r="R169" s="22"/>
      <c r="S169" s="22" t="s">
        <v>209</v>
      </c>
    </row>
    <row r="170" spans="1:19">
      <c r="A170" s="215" t="s">
        <v>481</v>
      </c>
      <c r="B170" s="216"/>
      <c r="C170" s="216"/>
      <c r="D170" s="216"/>
      <c r="E170" s="216"/>
      <c r="F170" s="216"/>
      <c r="G170" s="216"/>
      <c r="H170" s="216"/>
      <c r="I170" s="216"/>
      <c r="J170" s="216"/>
      <c r="K170" s="216"/>
      <c r="L170" s="216"/>
      <c r="M170" s="216"/>
      <c r="N170" s="216"/>
      <c r="O170" s="216"/>
      <c r="P170" s="216"/>
      <c r="Q170" s="216"/>
      <c r="R170" s="216"/>
      <c r="S170" s="214"/>
    </row>
    <row r="171" spans="1:19">
      <c r="A171" s="213" t="s">
        <v>482</v>
      </c>
      <c r="B171" s="206">
        <v>6</v>
      </c>
      <c r="C171" s="213" t="s">
        <v>483</v>
      </c>
      <c r="D171" s="232" t="s">
        <v>227</v>
      </c>
      <c r="E171" s="22" t="s">
        <v>20</v>
      </c>
      <c r="F171" s="233" t="s">
        <v>484</v>
      </c>
      <c r="G171" s="25" t="s">
        <v>485</v>
      </c>
      <c r="H171" s="26" t="s">
        <v>486</v>
      </c>
      <c r="I171" s="31"/>
      <c r="J171" s="26"/>
      <c r="K171" s="22"/>
      <c r="L171" s="22"/>
      <c r="M171" s="22"/>
      <c r="N171" s="22"/>
      <c r="O171" s="22"/>
      <c r="P171" s="35"/>
      <c r="Q171" s="22"/>
      <c r="R171" s="22"/>
      <c r="S171" s="22" t="s">
        <v>209</v>
      </c>
    </row>
    <row r="172" spans="1:19" ht="63.95">
      <c r="A172" s="213"/>
      <c r="B172" s="207"/>
      <c r="C172" s="213"/>
      <c r="D172" s="232"/>
      <c r="E172" s="22" t="s">
        <v>109</v>
      </c>
      <c r="F172" s="233"/>
      <c r="G172" s="28" t="s">
        <v>487</v>
      </c>
      <c r="H172" s="26" t="s">
        <v>488</v>
      </c>
      <c r="I172" s="31"/>
      <c r="J172" s="26"/>
      <c r="K172" s="22"/>
      <c r="L172" s="22"/>
      <c r="M172" s="22"/>
      <c r="N172" s="22"/>
      <c r="O172" s="22"/>
      <c r="P172" s="150"/>
      <c r="Q172" s="22"/>
      <c r="R172" s="22"/>
      <c r="S172" s="22" t="s">
        <v>209</v>
      </c>
    </row>
    <row r="173" spans="1:19" ht="48">
      <c r="A173" s="206"/>
      <c r="B173" s="208"/>
      <c r="C173" s="206"/>
      <c r="D173" s="47" t="s">
        <v>489</v>
      </c>
      <c r="E173" s="51" t="s">
        <v>167</v>
      </c>
      <c r="F173" s="234"/>
      <c r="G173" s="79" t="s">
        <v>490</v>
      </c>
      <c r="H173" s="80" t="s">
        <v>491</v>
      </c>
      <c r="I173" s="80"/>
      <c r="J173" s="80"/>
      <c r="K173" s="51"/>
      <c r="L173" s="51"/>
      <c r="M173" s="51"/>
      <c r="N173" s="51"/>
      <c r="O173" s="51"/>
      <c r="P173" s="47"/>
      <c r="Q173" s="51"/>
      <c r="R173" s="51"/>
      <c r="S173" s="51" t="s">
        <v>164</v>
      </c>
    </row>
    <row r="174" spans="1:19">
      <c r="A174" s="269" t="s">
        <v>492</v>
      </c>
      <c r="B174" s="269"/>
      <c r="C174" s="269"/>
      <c r="D174" s="269"/>
      <c r="E174" s="269"/>
      <c r="F174" s="269"/>
      <c r="G174" s="269"/>
      <c r="H174" s="269"/>
      <c r="I174" s="269"/>
      <c r="J174" s="269"/>
      <c r="K174" s="269"/>
      <c r="L174" s="269"/>
      <c r="M174" s="269"/>
      <c r="N174" s="269"/>
      <c r="O174" s="269"/>
      <c r="P174" s="269"/>
      <c r="Q174" s="269"/>
      <c r="R174" s="269"/>
      <c r="S174" s="205"/>
    </row>
    <row r="175" spans="1:19" ht="63.95">
      <c r="A175" s="207" t="s">
        <v>493</v>
      </c>
      <c r="B175" s="206"/>
      <c r="C175" s="242" t="s">
        <v>494</v>
      </c>
      <c r="D175" s="228" t="s">
        <v>489</v>
      </c>
      <c r="E175" s="52" t="s">
        <v>20</v>
      </c>
      <c r="F175" s="242" t="s">
        <v>494</v>
      </c>
      <c r="G175" s="94" t="s">
        <v>495</v>
      </c>
      <c r="H175" s="94" t="s">
        <v>496</v>
      </c>
      <c r="I175" s="94"/>
      <c r="J175" s="94"/>
      <c r="K175" s="52"/>
      <c r="L175" s="52"/>
      <c r="M175" s="52"/>
      <c r="N175" s="52"/>
      <c r="O175" s="52"/>
      <c r="P175" s="97"/>
      <c r="Q175" s="52"/>
      <c r="R175" s="52"/>
      <c r="S175" s="52" t="s">
        <v>209</v>
      </c>
    </row>
    <row r="176" spans="1:19" ht="32.1">
      <c r="A176" s="208"/>
      <c r="B176" s="208"/>
      <c r="C176" s="235"/>
      <c r="D176" s="229"/>
      <c r="E176" s="22" t="s">
        <v>109</v>
      </c>
      <c r="F176" s="235"/>
      <c r="G176" s="26" t="s">
        <v>497</v>
      </c>
      <c r="H176" s="26" t="s">
        <v>498</v>
      </c>
      <c r="I176" s="26"/>
      <c r="J176" s="26"/>
      <c r="K176" s="22"/>
      <c r="L176" s="22"/>
      <c r="M176" s="22"/>
      <c r="N176" s="22"/>
      <c r="O176" s="22"/>
      <c r="P176" s="35"/>
      <c r="Q176" s="22"/>
      <c r="R176" s="22"/>
      <c r="S176" s="22" t="s">
        <v>209</v>
      </c>
    </row>
    <row r="177" spans="1:19">
      <c r="A177" s="267" t="s">
        <v>499</v>
      </c>
      <c r="B177" s="268"/>
      <c r="C177" s="268"/>
      <c r="D177" s="268"/>
      <c r="E177" s="268"/>
      <c r="F177" s="268"/>
      <c r="G177" s="268"/>
      <c r="H177" s="268"/>
      <c r="I177" s="268"/>
      <c r="J177" s="268"/>
      <c r="K177" s="268"/>
      <c r="L177" s="268"/>
      <c r="M177" s="268"/>
      <c r="N177" s="268"/>
      <c r="O177" s="268"/>
      <c r="P177" s="268"/>
      <c r="Q177" s="268"/>
      <c r="R177" s="268"/>
      <c r="S177" s="226"/>
    </row>
    <row r="178" spans="1:19">
      <c r="A178" s="209" t="s">
        <v>500</v>
      </c>
      <c r="B178" s="210"/>
      <c r="C178" s="210"/>
      <c r="D178" s="210"/>
      <c r="E178" s="210"/>
      <c r="F178" s="210"/>
      <c r="G178" s="210"/>
      <c r="H178" s="210"/>
      <c r="I178" s="210"/>
      <c r="J178" s="210"/>
      <c r="K178" s="210"/>
      <c r="L178" s="210"/>
      <c r="M178" s="210"/>
      <c r="N178" s="210"/>
      <c r="O178" s="210"/>
      <c r="P178" s="210"/>
      <c r="Q178" s="210"/>
      <c r="R178" s="210"/>
      <c r="S178" s="214"/>
    </row>
    <row r="179" spans="1:19">
      <c r="A179" s="213" t="s">
        <v>501</v>
      </c>
      <c r="B179" s="206">
        <v>8</v>
      </c>
      <c r="C179" s="213" t="s">
        <v>502</v>
      </c>
      <c r="D179" s="227" t="s">
        <v>219</v>
      </c>
      <c r="E179" s="22" t="s">
        <v>20</v>
      </c>
      <c r="F179" s="233" t="s">
        <v>502</v>
      </c>
      <c r="G179" s="25" t="s">
        <v>503</v>
      </c>
      <c r="H179" s="26"/>
      <c r="I179" s="26"/>
      <c r="J179" s="26"/>
      <c r="K179" s="22"/>
      <c r="L179" s="22"/>
      <c r="M179" s="22"/>
      <c r="N179" s="22"/>
      <c r="O179" s="22"/>
      <c r="P179" s="35"/>
      <c r="Q179" s="22"/>
      <c r="R179" s="22"/>
      <c r="S179" s="22" t="s">
        <v>164</v>
      </c>
    </row>
    <row r="180" spans="1:19" ht="96">
      <c r="A180" s="213"/>
      <c r="B180" s="207"/>
      <c r="C180" s="213"/>
      <c r="D180" s="229"/>
      <c r="E180" s="22" t="s">
        <v>109</v>
      </c>
      <c r="F180" s="233"/>
      <c r="G180" s="28" t="s">
        <v>504</v>
      </c>
      <c r="H180" s="26" t="s">
        <v>505</v>
      </c>
      <c r="I180" s="26"/>
      <c r="J180" s="26"/>
      <c r="K180" s="22"/>
      <c r="L180" s="22"/>
      <c r="M180" s="22"/>
      <c r="N180" s="22"/>
      <c r="O180" s="22"/>
      <c r="P180" s="35"/>
      <c r="Q180" s="22"/>
      <c r="R180" s="22"/>
      <c r="S180" s="22" t="s">
        <v>164</v>
      </c>
    </row>
    <row r="181" spans="1:19">
      <c r="A181" s="213"/>
      <c r="B181" s="208"/>
      <c r="C181" s="213"/>
      <c r="D181" s="35" t="s">
        <v>489</v>
      </c>
      <c r="E181" s="22" t="s">
        <v>167</v>
      </c>
      <c r="F181" s="233"/>
      <c r="G181" s="25" t="s">
        <v>506</v>
      </c>
      <c r="H181" s="26" t="s">
        <v>507</v>
      </c>
      <c r="I181" s="26"/>
      <c r="J181" s="26"/>
      <c r="K181" s="22"/>
      <c r="L181" s="22"/>
      <c r="M181" s="22"/>
      <c r="N181" s="22"/>
      <c r="O181" s="22"/>
      <c r="P181" s="35"/>
      <c r="Q181" s="22"/>
      <c r="R181" s="22"/>
      <c r="S181" s="22" t="s">
        <v>164</v>
      </c>
    </row>
    <row r="182" spans="1:19" ht="32.1">
      <c r="A182" s="213" t="s">
        <v>508</v>
      </c>
      <c r="B182" s="206" t="s">
        <v>509</v>
      </c>
      <c r="C182" s="213"/>
      <c r="D182" s="232" t="s">
        <v>510</v>
      </c>
      <c r="E182" s="22" t="s">
        <v>20</v>
      </c>
      <c r="F182" s="233" t="s">
        <v>511</v>
      </c>
      <c r="G182" s="25" t="s">
        <v>512</v>
      </c>
      <c r="H182" s="26" t="s">
        <v>513</v>
      </c>
      <c r="I182" s="26"/>
      <c r="J182" s="26"/>
      <c r="K182" s="22"/>
      <c r="L182" s="22"/>
      <c r="M182" s="22"/>
      <c r="N182" s="22"/>
      <c r="O182" s="22"/>
      <c r="P182" s="150"/>
      <c r="Q182" s="22"/>
      <c r="R182" s="22"/>
      <c r="S182" s="22" t="s">
        <v>164</v>
      </c>
    </row>
    <row r="183" spans="1:19" ht="48">
      <c r="A183" s="213"/>
      <c r="B183" s="207"/>
      <c r="C183" s="213"/>
      <c r="D183" s="232"/>
      <c r="E183" s="22" t="s">
        <v>109</v>
      </c>
      <c r="F183" s="233"/>
      <c r="G183" s="25" t="s">
        <v>514</v>
      </c>
      <c r="H183" s="26" t="s">
        <v>513</v>
      </c>
      <c r="I183" s="26"/>
      <c r="J183" s="26"/>
      <c r="K183" s="22"/>
      <c r="L183" s="22"/>
      <c r="M183" s="22"/>
      <c r="N183" s="22"/>
      <c r="O183" s="22"/>
      <c r="P183" s="150"/>
      <c r="Q183" s="22"/>
      <c r="R183" s="22"/>
      <c r="S183" s="22" t="s">
        <v>164</v>
      </c>
    </row>
    <row r="184" spans="1:19">
      <c r="A184" s="213"/>
      <c r="B184" s="207"/>
      <c r="C184" s="213"/>
      <c r="D184" s="232"/>
      <c r="E184" s="22" t="s">
        <v>167</v>
      </c>
      <c r="F184" s="233"/>
      <c r="G184" s="25" t="s">
        <v>515</v>
      </c>
      <c r="H184" s="26" t="s">
        <v>516</v>
      </c>
      <c r="I184" s="26"/>
      <c r="J184" s="26"/>
      <c r="K184" s="22"/>
      <c r="L184" s="22"/>
      <c r="M184" s="22"/>
      <c r="N184" s="22"/>
      <c r="O184" s="22"/>
      <c r="P184" s="35"/>
      <c r="Q184" s="22"/>
      <c r="R184" s="22"/>
      <c r="S184" s="22" t="s">
        <v>164</v>
      </c>
    </row>
    <row r="185" spans="1:19" ht="48">
      <c r="A185" s="213"/>
      <c r="B185" s="207"/>
      <c r="C185" s="213"/>
      <c r="D185" s="232"/>
      <c r="E185" s="22" t="s">
        <v>170</v>
      </c>
      <c r="F185" s="233"/>
      <c r="G185" s="25" t="s">
        <v>517</v>
      </c>
      <c r="H185" s="26" t="s">
        <v>518</v>
      </c>
      <c r="I185" s="26"/>
      <c r="J185" s="26"/>
      <c r="K185" s="22"/>
      <c r="L185" s="22"/>
      <c r="M185" s="22"/>
      <c r="N185" s="22"/>
      <c r="O185" s="22"/>
      <c r="P185" s="150"/>
      <c r="Q185" s="22"/>
      <c r="R185" s="22"/>
      <c r="S185" s="22" t="s">
        <v>164</v>
      </c>
    </row>
    <row r="186" spans="1:19" ht="32.1">
      <c r="A186" s="213"/>
      <c r="B186" s="208"/>
      <c r="C186" s="213"/>
      <c r="D186" s="232"/>
      <c r="E186" s="22" t="s">
        <v>173</v>
      </c>
      <c r="F186" s="233"/>
      <c r="G186" s="26" t="s">
        <v>519</v>
      </c>
      <c r="H186" s="26" t="s">
        <v>520</v>
      </c>
      <c r="I186" s="26"/>
      <c r="J186" s="26"/>
      <c r="K186" s="22"/>
      <c r="L186" s="22"/>
      <c r="M186" s="22"/>
      <c r="N186" s="22"/>
      <c r="O186" s="22"/>
      <c r="P186" s="150"/>
      <c r="Q186" s="22"/>
      <c r="R186" s="22"/>
      <c r="S186" s="22" t="s">
        <v>164</v>
      </c>
    </row>
    <row r="187" spans="1:19">
      <c r="A187" s="209" t="s">
        <v>521</v>
      </c>
      <c r="B187" s="210"/>
      <c r="C187" s="210"/>
      <c r="D187" s="210"/>
      <c r="E187" s="210"/>
      <c r="F187" s="210"/>
      <c r="G187" s="210"/>
      <c r="H187" s="210"/>
      <c r="I187" s="210"/>
      <c r="J187" s="210"/>
      <c r="K187" s="210"/>
      <c r="L187" s="210"/>
      <c r="M187" s="210"/>
      <c r="N187" s="210"/>
      <c r="O187" s="210"/>
      <c r="P187" s="210"/>
      <c r="Q187" s="210"/>
      <c r="R187" s="210"/>
      <c r="S187" s="214"/>
    </row>
    <row r="188" spans="1:19">
      <c r="A188" s="213" t="s">
        <v>522</v>
      </c>
      <c r="B188" s="206">
        <v>7</v>
      </c>
      <c r="C188" s="213" t="s">
        <v>523</v>
      </c>
      <c r="D188" s="232" t="s">
        <v>219</v>
      </c>
      <c r="E188" s="22" t="s">
        <v>20</v>
      </c>
      <c r="F188" s="233" t="s">
        <v>523</v>
      </c>
      <c r="G188" s="25" t="s">
        <v>503</v>
      </c>
      <c r="H188" s="28" t="s">
        <v>524</v>
      </c>
      <c r="I188" s="28"/>
      <c r="J188" s="28"/>
      <c r="K188" s="22"/>
      <c r="L188" s="22"/>
      <c r="M188" s="22"/>
      <c r="N188" s="22"/>
      <c r="O188" s="22"/>
      <c r="P188" s="35"/>
      <c r="Q188" s="22"/>
      <c r="R188" s="22"/>
      <c r="S188" s="22" t="s">
        <v>164</v>
      </c>
    </row>
    <row r="189" spans="1:19" ht="128.1">
      <c r="A189" s="213"/>
      <c r="B189" s="207"/>
      <c r="C189" s="213"/>
      <c r="D189" s="232"/>
      <c r="E189" s="22" t="s">
        <v>109</v>
      </c>
      <c r="F189" s="233"/>
      <c r="G189" s="28" t="s">
        <v>525</v>
      </c>
      <c r="H189" s="28" t="s">
        <v>526</v>
      </c>
      <c r="I189" s="28"/>
      <c r="J189" s="28"/>
      <c r="K189" s="22"/>
      <c r="L189" s="22"/>
      <c r="M189" s="22"/>
      <c r="N189" s="22"/>
      <c r="P189" s="157"/>
      <c r="Q189" s="22"/>
      <c r="R189" s="22"/>
      <c r="S189" s="22" t="s">
        <v>164</v>
      </c>
    </row>
    <row r="190" spans="1:19">
      <c r="A190" s="213"/>
      <c r="B190" s="208"/>
      <c r="C190" s="213"/>
      <c r="D190" s="232"/>
      <c r="E190" s="22" t="s">
        <v>167</v>
      </c>
      <c r="F190" s="270"/>
      <c r="G190" s="28" t="s">
        <v>527</v>
      </c>
      <c r="H190" s="28" t="s">
        <v>528</v>
      </c>
      <c r="I190" s="28"/>
      <c r="J190" s="28"/>
      <c r="K190" s="22"/>
      <c r="L190" s="22"/>
      <c r="M190" s="22"/>
      <c r="N190" s="22"/>
      <c r="O190" s="22"/>
      <c r="P190" s="35"/>
      <c r="Q190" s="22"/>
      <c r="R190" s="22"/>
      <c r="S190" s="166" t="s">
        <v>209</v>
      </c>
    </row>
    <row r="191" spans="1:19">
      <c r="A191" s="209" t="s">
        <v>529</v>
      </c>
      <c r="B191" s="210"/>
      <c r="C191" s="210"/>
      <c r="D191" s="210"/>
      <c r="E191" s="210"/>
      <c r="F191" s="210"/>
      <c r="G191" s="210"/>
      <c r="H191" s="210"/>
      <c r="I191" s="210"/>
      <c r="J191" s="210"/>
      <c r="K191" s="210"/>
      <c r="L191" s="210"/>
      <c r="M191" s="210"/>
      <c r="N191" s="210"/>
      <c r="O191" s="210"/>
      <c r="P191" s="210"/>
      <c r="Q191" s="210"/>
      <c r="R191" s="210"/>
      <c r="S191" s="214"/>
    </row>
    <row r="192" spans="1:19" ht="128.1">
      <c r="A192" s="213" t="s">
        <v>530</v>
      </c>
      <c r="B192" s="206"/>
      <c r="C192" s="213" t="s">
        <v>531</v>
      </c>
      <c r="D192" s="232" t="s">
        <v>219</v>
      </c>
      <c r="E192" s="22" t="s">
        <v>20</v>
      </c>
      <c r="F192" s="262" t="s">
        <v>531</v>
      </c>
      <c r="G192" s="28" t="s">
        <v>532</v>
      </c>
      <c r="H192" s="28" t="s">
        <v>526</v>
      </c>
      <c r="I192" s="28"/>
      <c r="J192" s="28"/>
      <c r="K192" s="22"/>
      <c r="L192" s="22"/>
      <c r="M192" s="22"/>
      <c r="N192" s="22"/>
      <c r="O192" s="22"/>
      <c r="P192" s="35"/>
      <c r="Q192" s="22"/>
      <c r="R192" s="22"/>
      <c r="S192" s="166" t="s">
        <v>209</v>
      </c>
    </row>
    <row r="193" spans="1:19" ht="32.1">
      <c r="A193" s="213"/>
      <c r="B193" s="207"/>
      <c r="C193" s="213"/>
      <c r="D193" s="232"/>
      <c r="E193" s="22" t="s">
        <v>109</v>
      </c>
      <c r="F193" s="262"/>
      <c r="G193" s="28" t="s">
        <v>533</v>
      </c>
      <c r="H193" s="28" t="s">
        <v>534</v>
      </c>
      <c r="I193" s="28"/>
      <c r="J193" s="28"/>
      <c r="K193" s="22"/>
      <c r="L193" s="22"/>
      <c r="M193" s="22"/>
      <c r="N193" s="22"/>
      <c r="O193" s="22"/>
      <c r="P193" s="35"/>
      <c r="Q193" s="22"/>
      <c r="R193" s="22"/>
      <c r="S193" s="166" t="s">
        <v>209</v>
      </c>
    </row>
    <row r="194" spans="1:19">
      <c r="A194" s="213"/>
      <c r="B194" s="208"/>
      <c r="C194" s="213"/>
      <c r="D194" s="232"/>
      <c r="E194" s="22" t="s">
        <v>167</v>
      </c>
      <c r="F194" s="262"/>
      <c r="G194" s="28" t="s">
        <v>527</v>
      </c>
      <c r="H194" s="28" t="s">
        <v>528</v>
      </c>
      <c r="I194" s="28"/>
      <c r="J194" s="28"/>
      <c r="K194" s="22"/>
      <c r="L194" s="22"/>
      <c r="M194" s="22"/>
      <c r="N194" s="22"/>
      <c r="O194" s="22"/>
      <c r="P194" s="35"/>
      <c r="Q194" s="22"/>
      <c r="R194" s="22"/>
      <c r="S194" s="166" t="s">
        <v>209</v>
      </c>
    </row>
    <row r="195" spans="1:19">
      <c r="A195" s="209" t="s">
        <v>535</v>
      </c>
      <c r="B195" s="210"/>
      <c r="C195" s="210"/>
      <c r="D195" s="210"/>
      <c r="E195" s="210"/>
      <c r="F195" s="210"/>
      <c r="G195" s="210"/>
      <c r="H195" s="210"/>
      <c r="I195" s="210"/>
      <c r="J195" s="210"/>
      <c r="K195" s="210"/>
      <c r="L195" s="210"/>
      <c r="M195" s="210"/>
      <c r="N195" s="210"/>
      <c r="O195" s="210"/>
      <c r="P195" s="210"/>
      <c r="Q195" s="210"/>
      <c r="R195" s="210"/>
      <c r="S195" s="214"/>
    </row>
    <row r="196" spans="1:19" ht="96">
      <c r="A196" s="21" t="s">
        <v>536</v>
      </c>
      <c r="B196" s="21"/>
      <c r="C196" s="21" t="s">
        <v>537</v>
      </c>
      <c r="D196" s="35" t="s">
        <v>219</v>
      </c>
      <c r="E196" s="22" t="s">
        <v>20</v>
      </c>
      <c r="F196" s="31" t="s">
        <v>537</v>
      </c>
      <c r="G196" s="28" t="s">
        <v>538</v>
      </c>
      <c r="H196" s="26" t="s">
        <v>526</v>
      </c>
      <c r="I196" s="26"/>
      <c r="J196" s="26"/>
      <c r="K196" s="22"/>
      <c r="L196" s="22"/>
      <c r="M196" s="22"/>
      <c r="N196" s="22"/>
      <c r="O196" s="22"/>
      <c r="P196" s="35"/>
      <c r="Q196" s="22"/>
      <c r="R196" s="22"/>
      <c r="S196" s="166" t="s">
        <v>209</v>
      </c>
    </row>
    <row r="197" spans="1:19">
      <c r="A197" s="218" t="s">
        <v>539</v>
      </c>
      <c r="B197" s="219"/>
      <c r="C197" s="219"/>
      <c r="D197" s="219"/>
      <c r="E197" s="219"/>
      <c r="F197" s="219"/>
      <c r="G197" s="219"/>
      <c r="H197" s="219"/>
      <c r="I197" s="219"/>
      <c r="J197" s="219"/>
      <c r="K197" s="219"/>
      <c r="L197" s="219"/>
      <c r="M197" s="219"/>
      <c r="N197" s="219"/>
      <c r="O197" s="219"/>
      <c r="P197" s="219"/>
      <c r="Q197" s="219"/>
      <c r="R197" s="219"/>
      <c r="S197" s="220"/>
    </row>
    <row r="198" spans="1:19" ht="32.1">
      <c r="A198" s="205" t="s">
        <v>540</v>
      </c>
      <c r="B198" s="205"/>
      <c r="C198" s="205" t="s">
        <v>327</v>
      </c>
      <c r="D198" s="147" t="s">
        <v>328</v>
      </c>
      <c r="E198" s="53"/>
      <c r="F198" s="164" t="s">
        <v>329</v>
      </c>
      <c r="G198" s="30" t="s">
        <v>330</v>
      </c>
      <c r="H198" s="53"/>
      <c r="I198" s="53"/>
      <c r="J198" s="53"/>
      <c r="K198" s="53"/>
      <c r="L198" s="53"/>
      <c r="M198" s="53"/>
      <c r="N198" s="53"/>
      <c r="O198" s="53"/>
      <c r="P198" s="53"/>
      <c r="Q198" s="53"/>
      <c r="R198" s="53"/>
      <c r="S198" s="166" t="s">
        <v>209</v>
      </c>
    </row>
    <row r="199" spans="1:19">
      <c r="A199" s="205"/>
      <c r="B199" s="205"/>
      <c r="C199" s="205"/>
      <c r="D199" s="170" t="s">
        <v>331</v>
      </c>
      <c r="E199" s="53"/>
      <c r="F199" s="164" t="s">
        <v>332</v>
      </c>
      <c r="G199" s="30" t="s">
        <v>333</v>
      </c>
      <c r="H199" s="53"/>
      <c r="I199" s="53"/>
      <c r="J199" s="53"/>
      <c r="K199" s="53"/>
      <c r="L199" s="53"/>
      <c r="M199" s="53"/>
      <c r="N199" s="53"/>
      <c r="O199" s="53"/>
      <c r="P199" s="53"/>
      <c r="Q199" s="53"/>
      <c r="R199" s="53"/>
      <c r="S199" s="166" t="s">
        <v>209</v>
      </c>
    </row>
    <row r="200" spans="1:19">
      <c r="A200" s="205"/>
      <c r="B200" s="205"/>
      <c r="C200" s="205"/>
      <c r="D200" s="170" t="s">
        <v>334</v>
      </c>
      <c r="E200" s="53"/>
      <c r="F200" s="164" t="s">
        <v>335</v>
      </c>
      <c r="G200" s="30" t="s">
        <v>336</v>
      </c>
      <c r="H200" s="53"/>
      <c r="I200" s="53"/>
      <c r="J200" s="53"/>
      <c r="K200" s="53"/>
      <c r="L200" s="53"/>
      <c r="M200" s="53"/>
      <c r="N200" s="53"/>
      <c r="O200" s="53"/>
      <c r="P200" s="53"/>
      <c r="Q200" s="53"/>
      <c r="R200" s="53"/>
      <c r="S200" s="166" t="s">
        <v>209</v>
      </c>
    </row>
    <row r="201" spans="1:19">
      <c r="A201" s="224" t="s">
        <v>541</v>
      </c>
      <c r="B201" s="225"/>
      <c r="C201" s="225"/>
      <c r="D201" s="225"/>
      <c r="E201" s="225"/>
      <c r="F201" s="225"/>
      <c r="G201" s="225"/>
      <c r="H201" s="225"/>
      <c r="I201" s="225"/>
      <c r="J201" s="225"/>
      <c r="K201" s="225"/>
      <c r="L201" s="225"/>
      <c r="M201" s="225"/>
      <c r="N201" s="225"/>
      <c r="O201" s="225"/>
      <c r="P201" s="225"/>
      <c r="Q201" s="225"/>
      <c r="R201" s="225"/>
      <c r="S201" s="226"/>
    </row>
    <row r="202" spans="1:19" ht="96">
      <c r="A202" s="213" t="s">
        <v>542</v>
      </c>
      <c r="B202" s="206"/>
      <c r="C202" s="221" t="s">
        <v>339</v>
      </c>
      <c r="D202" s="147" t="s">
        <v>340</v>
      </c>
      <c r="E202" s="22" t="s">
        <v>20</v>
      </c>
      <c r="F202" s="29" t="s">
        <v>341</v>
      </c>
      <c r="G202" s="30" t="s">
        <v>342</v>
      </c>
      <c r="H202" s="26" t="str">
        <f t="shared" ref="H202:H205" si="19">_xlfn.CONCAT("Confirm if the ",D202," ", "has approved the PR and the approver name captured in Approver fields")</f>
        <v>Confirm if the Director / Senior Director has approved the PR and the approver name captured in Approver fields</v>
      </c>
      <c r="I202" s="26"/>
      <c r="J202" s="26"/>
      <c r="K202" s="22"/>
      <c r="L202" s="22"/>
      <c r="M202" s="22"/>
      <c r="N202" s="22"/>
      <c r="O202" s="22"/>
      <c r="P202" s="35"/>
      <c r="Q202" s="22"/>
      <c r="R202" s="22"/>
      <c r="S202" s="166" t="s">
        <v>209</v>
      </c>
    </row>
    <row r="203" spans="1:19" ht="32.1">
      <c r="A203" s="213"/>
      <c r="B203" s="207"/>
      <c r="C203" s="222"/>
      <c r="D203" s="147" t="s">
        <v>328</v>
      </c>
      <c r="E203" s="22" t="s">
        <v>20</v>
      </c>
      <c r="F203" s="29" t="s">
        <v>343</v>
      </c>
      <c r="G203" s="30" t="s">
        <v>330</v>
      </c>
      <c r="H203" s="26" t="str">
        <f t="shared" si="19"/>
        <v>Confirm if the SVP - Managed Services &amp; Customer Support has approved the PR and the approver name captured in Approver fields</v>
      </c>
      <c r="I203" s="26"/>
      <c r="J203" s="26"/>
      <c r="K203" s="22"/>
      <c r="L203" s="22"/>
      <c r="M203" s="22"/>
      <c r="N203" s="22"/>
      <c r="O203" s="22"/>
      <c r="P203" s="35"/>
      <c r="Q203" s="22"/>
      <c r="R203" s="22"/>
      <c r="S203" s="166" t="s">
        <v>209</v>
      </c>
    </row>
    <row r="204" spans="1:19" ht="32.1">
      <c r="A204" s="213"/>
      <c r="B204" s="207"/>
      <c r="C204" s="222"/>
      <c r="D204" s="147" t="s">
        <v>331</v>
      </c>
      <c r="E204" s="22" t="s">
        <v>20</v>
      </c>
      <c r="F204" s="29" t="s">
        <v>332</v>
      </c>
      <c r="G204" s="30" t="s">
        <v>333</v>
      </c>
      <c r="H204" s="26" t="str">
        <f t="shared" si="19"/>
        <v>Confirm if the COO &amp;  CFO has approved the PR and the approver name captured in Approver fields</v>
      </c>
      <c r="I204" s="26"/>
      <c r="J204" s="26"/>
      <c r="K204" s="22"/>
      <c r="L204" s="22"/>
      <c r="M204" s="22"/>
      <c r="N204" s="22"/>
      <c r="O204" s="22"/>
      <c r="P204" s="35"/>
      <c r="Q204" s="22"/>
      <c r="R204" s="22"/>
      <c r="S204" s="166" t="s">
        <v>209</v>
      </c>
    </row>
    <row r="205" spans="1:19">
      <c r="A205" s="213"/>
      <c r="B205" s="208"/>
      <c r="C205" s="223"/>
      <c r="D205" s="147" t="s">
        <v>334</v>
      </c>
      <c r="E205" s="22" t="s">
        <v>20</v>
      </c>
      <c r="F205" s="29" t="s">
        <v>335</v>
      </c>
      <c r="G205" s="30" t="s">
        <v>336</v>
      </c>
      <c r="H205" s="26" t="str">
        <f t="shared" si="19"/>
        <v>Confirm if the CEO has approved the PR and the approver name captured in Approver fields</v>
      </c>
      <c r="I205" s="26"/>
      <c r="J205" s="26"/>
      <c r="K205" s="22"/>
      <c r="L205" s="22"/>
      <c r="M205" s="22"/>
      <c r="N205" s="22"/>
      <c r="O205" s="22"/>
      <c r="P205" s="35"/>
      <c r="Q205" s="22"/>
      <c r="R205" s="22"/>
      <c r="S205" s="166" t="s">
        <v>209</v>
      </c>
    </row>
    <row r="206" spans="1:19">
      <c r="A206" s="209" t="s">
        <v>543</v>
      </c>
      <c r="B206" s="210"/>
      <c r="C206" s="210"/>
      <c r="D206" s="210"/>
      <c r="E206" s="210"/>
      <c r="F206" s="210"/>
      <c r="G206" s="210"/>
      <c r="H206" s="210"/>
      <c r="I206" s="210"/>
      <c r="J206" s="210"/>
      <c r="K206" s="210"/>
      <c r="L206" s="210"/>
      <c r="M206" s="210"/>
      <c r="N206" s="210"/>
      <c r="O206" s="210"/>
      <c r="P206" s="210"/>
      <c r="Q206" s="210"/>
      <c r="R206" s="210"/>
      <c r="S206" s="214"/>
    </row>
    <row r="207" spans="1:19" ht="32.1">
      <c r="A207" s="213" t="s">
        <v>544</v>
      </c>
      <c r="B207" s="206"/>
      <c r="C207" s="212" t="s">
        <v>346</v>
      </c>
      <c r="D207" s="147" t="s">
        <v>347</v>
      </c>
      <c r="E207" s="22" t="s">
        <v>20</v>
      </c>
      <c r="F207" s="48" t="s">
        <v>329</v>
      </c>
      <c r="G207" s="30" t="s">
        <v>348</v>
      </c>
      <c r="H207" s="26" t="str">
        <f t="shared" ref="H207:H209" si="20">_xlfn.CONCAT("Confirm if the ",D207," ", "has approved the PR and the approver name captured in Approver fields")</f>
        <v>Confirm if the Senior Vice President &amp; Global Head of Delivery has approved the PR and the approver name captured in Approver fields</v>
      </c>
      <c r="I207" s="26"/>
      <c r="J207" s="26"/>
      <c r="K207" s="22"/>
      <c r="L207" s="22"/>
      <c r="M207" s="22"/>
      <c r="N207" s="22"/>
      <c r="O207" s="22"/>
      <c r="P207" s="35"/>
      <c r="Q207" s="22"/>
      <c r="R207" s="22"/>
      <c r="S207" s="166" t="s">
        <v>209</v>
      </c>
    </row>
    <row r="208" spans="1:19" ht="32.1">
      <c r="A208" s="213"/>
      <c r="B208" s="207"/>
      <c r="C208" s="212"/>
      <c r="D208" s="147" t="s">
        <v>331</v>
      </c>
      <c r="E208" s="22" t="s">
        <v>20</v>
      </c>
      <c r="F208" s="48" t="s">
        <v>332</v>
      </c>
      <c r="G208" s="30" t="s">
        <v>333</v>
      </c>
      <c r="H208" s="26" t="str">
        <f t="shared" si="20"/>
        <v>Confirm if the COO &amp;  CFO has approved the PR and the approver name captured in Approver fields</v>
      </c>
      <c r="I208" s="26"/>
      <c r="J208" s="26"/>
      <c r="K208" s="22"/>
      <c r="L208" s="22"/>
      <c r="M208" s="22"/>
      <c r="N208" s="22"/>
      <c r="O208" s="22"/>
      <c r="P208" s="35"/>
      <c r="Q208" s="22"/>
      <c r="R208" s="22"/>
      <c r="S208" s="166" t="s">
        <v>209</v>
      </c>
    </row>
    <row r="209" spans="1:19">
      <c r="A209" s="213"/>
      <c r="B209" s="208"/>
      <c r="C209" s="212"/>
      <c r="D209" s="147" t="s">
        <v>334</v>
      </c>
      <c r="E209" s="22" t="s">
        <v>20</v>
      </c>
      <c r="F209" s="48" t="s">
        <v>335</v>
      </c>
      <c r="G209" s="30" t="s">
        <v>336</v>
      </c>
      <c r="H209" s="26" t="str">
        <f t="shared" si="20"/>
        <v>Confirm if the CEO has approved the PR and the approver name captured in Approver fields</v>
      </c>
      <c r="I209" s="26"/>
      <c r="J209" s="26"/>
      <c r="K209" s="22"/>
      <c r="L209" s="22"/>
      <c r="M209" s="22"/>
      <c r="N209" s="22"/>
      <c r="O209" s="22"/>
      <c r="P209" s="35"/>
      <c r="Q209" s="22"/>
      <c r="R209" s="22"/>
      <c r="S209" s="166" t="s">
        <v>209</v>
      </c>
    </row>
    <row r="210" spans="1:19">
      <c r="A210" s="209" t="s">
        <v>545</v>
      </c>
      <c r="B210" s="210"/>
      <c r="C210" s="210"/>
      <c r="D210" s="210"/>
      <c r="E210" s="210"/>
      <c r="F210" s="210"/>
      <c r="G210" s="210"/>
      <c r="H210" s="210"/>
      <c r="I210" s="210"/>
      <c r="J210" s="210"/>
      <c r="K210" s="210"/>
      <c r="L210" s="210"/>
      <c r="M210" s="210"/>
      <c r="N210" s="210"/>
      <c r="O210" s="210"/>
      <c r="P210" s="210"/>
      <c r="Q210" s="210"/>
      <c r="R210" s="210"/>
      <c r="S210" s="214"/>
    </row>
    <row r="211" spans="1:19" ht="32.1">
      <c r="A211" s="213" t="s">
        <v>546</v>
      </c>
      <c r="B211" s="207"/>
      <c r="C211" s="212" t="s">
        <v>351</v>
      </c>
      <c r="D211" s="147" t="s">
        <v>352</v>
      </c>
      <c r="E211" s="22" t="s">
        <v>20</v>
      </c>
      <c r="F211" s="29" t="s">
        <v>329</v>
      </c>
      <c r="G211" s="30" t="s">
        <v>353</v>
      </c>
      <c r="H211" s="26" t="str">
        <f t="shared" ref="H211:H213" si="21">_xlfn.CONCAT("Confirm if the ",D211," ", "has approved the PR and the approver name captured in Approver fields")</f>
        <v>Confirm if the General Counsel has approved the PR and the approver name captured in Approver fields</v>
      </c>
      <c r="I211" s="26"/>
      <c r="J211" s="26"/>
      <c r="K211" s="22"/>
      <c r="L211" s="22"/>
      <c r="M211" s="22"/>
      <c r="N211" s="22"/>
      <c r="O211" s="22"/>
      <c r="P211" s="35"/>
      <c r="Q211" s="22"/>
      <c r="R211" s="22"/>
      <c r="S211" s="166" t="s">
        <v>209</v>
      </c>
    </row>
    <row r="212" spans="1:19" ht="32.1">
      <c r="A212" s="213"/>
      <c r="B212" s="207"/>
      <c r="C212" s="212"/>
      <c r="D212" s="147" t="s">
        <v>331</v>
      </c>
      <c r="E212" s="22" t="s">
        <v>20</v>
      </c>
      <c r="F212" s="29" t="s">
        <v>332</v>
      </c>
      <c r="G212" s="30" t="s">
        <v>333</v>
      </c>
      <c r="H212" s="26" t="str">
        <f t="shared" si="21"/>
        <v>Confirm if the COO &amp;  CFO has approved the PR and the approver name captured in Approver fields</v>
      </c>
      <c r="I212" s="26"/>
      <c r="J212" s="26"/>
      <c r="K212" s="22"/>
      <c r="L212" s="22"/>
      <c r="M212" s="22"/>
      <c r="N212" s="22"/>
      <c r="O212" s="22"/>
      <c r="P212" s="35"/>
      <c r="Q212" s="22"/>
      <c r="R212" s="22"/>
      <c r="S212" s="166" t="s">
        <v>209</v>
      </c>
    </row>
    <row r="213" spans="1:19">
      <c r="A213" s="213"/>
      <c r="B213" s="208"/>
      <c r="C213" s="212"/>
      <c r="D213" s="147" t="s">
        <v>334</v>
      </c>
      <c r="E213" s="22" t="s">
        <v>20</v>
      </c>
      <c r="F213" s="29" t="s">
        <v>335</v>
      </c>
      <c r="G213" s="30" t="s">
        <v>336</v>
      </c>
      <c r="H213" s="26" t="str">
        <f t="shared" si="21"/>
        <v>Confirm if the CEO has approved the PR and the approver name captured in Approver fields</v>
      </c>
      <c r="I213" s="26"/>
      <c r="J213" s="26"/>
      <c r="K213" s="22"/>
      <c r="L213" s="22"/>
      <c r="M213" s="22"/>
      <c r="N213" s="22"/>
      <c r="O213" s="22"/>
      <c r="P213" s="35"/>
      <c r="Q213" s="22"/>
      <c r="R213" s="22"/>
      <c r="S213" s="166" t="s">
        <v>209</v>
      </c>
    </row>
    <row r="214" spans="1:19">
      <c r="A214" s="209" t="s">
        <v>547</v>
      </c>
      <c r="B214" s="210"/>
      <c r="C214" s="210"/>
      <c r="D214" s="210"/>
      <c r="E214" s="210"/>
      <c r="F214" s="210"/>
      <c r="G214" s="210"/>
      <c r="H214" s="210"/>
      <c r="I214" s="210"/>
      <c r="J214" s="210"/>
      <c r="K214" s="210"/>
      <c r="L214" s="210"/>
      <c r="M214" s="210"/>
      <c r="N214" s="210"/>
      <c r="O214" s="210"/>
      <c r="P214" s="210"/>
      <c r="Q214" s="210"/>
      <c r="R214" s="210"/>
      <c r="S214" s="214"/>
    </row>
    <row r="215" spans="1:19" ht="32.1">
      <c r="A215" s="213" t="s">
        <v>548</v>
      </c>
      <c r="B215" s="206"/>
      <c r="C215" s="212" t="s">
        <v>356</v>
      </c>
      <c r="D215" s="170" t="s">
        <v>340</v>
      </c>
      <c r="E215" s="22" t="s">
        <v>20</v>
      </c>
      <c r="F215" s="48" t="s">
        <v>341</v>
      </c>
      <c r="G215" s="30" t="s">
        <v>357</v>
      </c>
      <c r="H215" s="26" t="str">
        <f t="shared" ref="H215:H218" si="22">_xlfn.CONCAT("Confirm if the ",D215," ", "has approved the PR and the approver name captured in Approver fields")</f>
        <v>Confirm if the Director / Senior Director has approved the PR and the approver name captured in Approver fields</v>
      </c>
      <c r="I215" s="26"/>
      <c r="J215" s="26"/>
      <c r="K215" s="22"/>
      <c r="L215" s="22"/>
      <c r="M215" s="22"/>
      <c r="N215" s="22"/>
      <c r="O215" s="22"/>
      <c r="P215" s="35"/>
      <c r="Q215" s="22"/>
      <c r="R215" s="22"/>
      <c r="S215" s="166" t="s">
        <v>209</v>
      </c>
    </row>
    <row r="216" spans="1:19" ht="32.1">
      <c r="A216" s="213"/>
      <c r="B216" s="207"/>
      <c r="C216" s="212"/>
      <c r="D216" s="170" t="s">
        <v>358</v>
      </c>
      <c r="E216" s="22" t="s">
        <v>20</v>
      </c>
      <c r="F216" s="48" t="s">
        <v>343</v>
      </c>
      <c r="G216" s="30" t="s">
        <v>359</v>
      </c>
      <c r="H216" s="26" t="str">
        <f t="shared" si="22"/>
        <v>Confirm if the Chief HR Officer has approved the PR and the approver name captured in Approver fields</v>
      </c>
      <c r="I216" s="26"/>
      <c r="J216" s="26"/>
      <c r="K216" s="22"/>
      <c r="L216" s="22"/>
      <c r="M216" s="22"/>
      <c r="N216" s="22"/>
      <c r="O216" s="22"/>
      <c r="P216" s="35"/>
      <c r="Q216" s="22"/>
      <c r="R216" s="22"/>
      <c r="S216" s="166" t="s">
        <v>209</v>
      </c>
    </row>
    <row r="217" spans="1:19" ht="32.1">
      <c r="A217" s="213"/>
      <c r="B217" s="207"/>
      <c r="C217" s="212"/>
      <c r="D217" s="170" t="s">
        <v>331</v>
      </c>
      <c r="E217" s="22" t="s">
        <v>20</v>
      </c>
      <c r="F217" s="48" t="s">
        <v>332</v>
      </c>
      <c r="G217" s="30" t="s">
        <v>331</v>
      </c>
      <c r="H217" s="26" t="str">
        <f t="shared" si="22"/>
        <v>Confirm if the COO &amp;  CFO has approved the PR and the approver name captured in Approver fields</v>
      </c>
      <c r="I217" s="26"/>
      <c r="J217" s="26"/>
      <c r="K217" s="22"/>
      <c r="L217" s="22"/>
      <c r="M217" s="22"/>
      <c r="N217" s="22"/>
      <c r="O217" s="22"/>
      <c r="P217" s="35"/>
      <c r="Q217" s="22"/>
      <c r="R217" s="22"/>
      <c r="S217" s="166" t="s">
        <v>209</v>
      </c>
    </row>
    <row r="218" spans="1:19">
      <c r="A218" s="213"/>
      <c r="B218" s="208"/>
      <c r="C218" s="212"/>
      <c r="D218" s="170" t="s">
        <v>334</v>
      </c>
      <c r="E218" s="22" t="s">
        <v>20</v>
      </c>
      <c r="F218" s="48" t="s">
        <v>335</v>
      </c>
      <c r="G218" s="30" t="s">
        <v>334</v>
      </c>
      <c r="H218" s="26" t="str">
        <f t="shared" si="22"/>
        <v>Confirm if the CEO has approved the PR and the approver name captured in Approver fields</v>
      </c>
      <c r="I218" s="26"/>
      <c r="J218" s="26"/>
      <c r="K218" s="22"/>
      <c r="L218" s="22"/>
      <c r="M218" s="22"/>
      <c r="N218" s="22"/>
      <c r="O218" s="22"/>
      <c r="P218" s="35"/>
      <c r="Q218" s="22"/>
      <c r="R218" s="22"/>
      <c r="S218" s="166" t="s">
        <v>209</v>
      </c>
    </row>
    <row r="219" spans="1:19">
      <c r="A219" s="209" t="s">
        <v>549</v>
      </c>
      <c r="B219" s="210"/>
      <c r="C219" s="210"/>
      <c r="D219" s="210"/>
      <c r="E219" s="210"/>
      <c r="F219" s="210"/>
      <c r="G219" s="210"/>
      <c r="H219" s="210"/>
      <c r="I219" s="210"/>
      <c r="J219" s="210"/>
      <c r="K219" s="210"/>
      <c r="L219" s="210"/>
      <c r="M219" s="210"/>
      <c r="N219" s="210"/>
      <c r="O219" s="210"/>
      <c r="P219" s="210"/>
      <c r="Q219" s="210"/>
      <c r="R219" s="210"/>
      <c r="S219" s="214"/>
    </row>
    <row r="220" spans="1:19" ht="32.1">
      <c r="A220" s="213" t="s">
        <v>550</v>
      </c>
      <c r="B220" s="206"/>
      <c r="C220" s="212" t="s">
        <v>362</v>
      </c>
      <c r="D220" s="147" t="s">
        <v>363</v>
      </c>
      <c r="E220" s="22" t="s">
        <v>20</v>
      </c>
      <c r="F220" s="29" t="s">
        <v>329</v>
      </c>
      <c r="G220" s="30" t="s">
        <v>364</v>
      </c>
      <c r="H220" s="26" t="str">
        <f t="shared" ref="H220:H222" si="23">_xlfn.CONCAT("Confirm if the ",D220," ", "has approved the PR and the approver name captured in Approver fields")</f>
        <v>Confirm if the Chief Information Officer - IT/Systems has approved the PR and the approver name captured in Approver fields</v>
      </c>
      <c r="I220" s="26"/>
      <c r="J220" s="26"/>
      <c r="K220" s="22"/>
      <c r="L220" s="22"/>
      <c r="M220" s="22"/>
      <c r="N220" s="22"/>
      <c r="O220" s="22"/>
      <c r="P220" s="35"/>
      <c r="Q220" s="22"/>
      <c r="R220" s="22"/>
      <c r="S220" s="166" t="s">
        <v>209</v>
      </c>
    </row>
    <row r="221" spans="1:19" ht="32.1">
      <c r="A221" s="213"/>
      <c r="B221" s="207"/>
      <c r="C221" s="212"/>
      <c r="D221" s="170" t="s">
        <v>331</v>
      </c>
      <c r="E221" s="22" t="s">
        <v>20</v>
      </c>
      <c r="F221" s="29" t="s">
        <v>332</v>
      </c>
      <c r="G221" s="30" t="s">
        <v>331</v>
      </c>
      <c r="H221" s="26" t="str">
        <f t="shared" si="23"/>
        <v>Confirm if the COO &amp;  CFO has approved the PR and the approver name captured in Approver fields</v>
      </c>
      <c r="I221" s="26"/>
      <c r="J221" s="26"/>
      <c r="K221" s="22"/>
      <c r="L221" s="22"/>
      <c r="M221" s="22"/>
      <c r="N221" s="22"/>
      <c r="O221" s="22"/>
      <c r="P221" s="35"/>
      <c r="Q221" s="22"/>
      <c r="R221" s="22"/>
      <c r="S221" s="166" t="s">
        <v>209</v>
      </c>
    </row>
    <row r="222" spans="1:19">
      <c r="A222" s="213"/>
      <c r="B222" s="208"/>
      <c r="C222" s="212"/>
      <c r="D222" s="170" t="s">
        <v>334</v>
      </c>
      <c r="E222" s="22" t="s">
        <v>20</v>
      </c>
      <c r="F222" s="29" t="s">
        <v>335</v>
      </c>
      <c r="G222" s="30" t="s">
        <v>334</v>
      </c>
      <c r="H222" s="26" t="str">
        <f t="shared" si="23"/>
        <v>Confirm if the CEO has approved the PR and the approver name captured in Approver fields</v>
      </c>
      <c r="I222" s="26"/>
      <c r="J222" s="26"/>
      <c r="K222" s="22"/>
      <c r="L222" s="22"/>
      <c r="M222" s="22"/>
      <c r="N222" s="22"/>
      <c r="O222" s="22"/>
      <c r="P222" s="35"/>
      <c r="Q222" s="22"/>
      <c r="R222" s="22"/>
      <c r="S222" s="166" t="s">
        <v>209</v>
      </c>
    </row>
    <row r="223" spans="1:19">
      <c r="A223" s="209" t="s">
        <v>551</v>
      </c>
      <c r="B223" s="210"/>
      <c r="C223" s="210"/>
      <c r="D223" s="210"/>
      <c r="E223" s="210"/>
      <c r="F223" s="210"/>
      <c r="G223" s="210"/>
      <c r="H223" s="210"/>
      <c r="I223" s="210"/>
      <c r="J223" s="210"/>
      <c r="K223" s="210"/>
      <c r="L223" s="210"/>
      <c r="M223" s="210"/>
      <c r="N223" s="210"/>
      <c r="O223" s="210"/>
      <c r="P223" s="210"/>
      <c r="Q223" s="210"/>
      <c r="R223" s="210"/>
      <c r="S223" s="214"/>
    </row>
    <row r="224" spans="1:19" ht="32.1">
      <c r="A224" s="213" t="s">
        <v>552</v>
      </c>
      <c r="B224" s="206"/>
      <c r="C224" s="212" t="s">
        <v>367</v>
      </c>
      <c r="D224" s="170" t="s">
        <v>368</v>
      </c>
      <c r="E224" s="22" t="s">
        <v>20</v>
      </c>
      <c r="F224" s="48" t="s">
        <v>329</v>
      </c>
      <c r="G224" s="30" t="s">
        <v>369</v>
      </c>
      <c r="H224" s="26" t="str">
        <f t="shared" ref="H224:H226" si="24">_xlfn.CONCAT("Confirm if the ",D224," ", "has approved the PR and the approver name captured in Approver fields")</f>
        <v>Confirm if the Corporate Controller has approved the PR and the approver name captured in Approver fields</v>
      </c>
      <c r="I224" s="26"/>
      <c r="J224" s="26"/>
      <c r="K224" s="22"/>
      <c r="L224" s="22"/>
      <c r="M224" s="22"/>
      <c r="N224" s="22"/>
      <c r="O224" s="22"/>
      <c r="P224" s="35"/>
      <c r="Q224" s="22"/>
      <c r="R224" s="22"/>
      <c r="S224" s="166" t="s">
        <v>209</v>
      </c>
    </row>
    <row r="225" spans="1:19" ht="32.1">
      <c r="A225" s="213"/>
      <c r="B225" s="207"/>
      <c r="C225" s="212"/>
      <c r="D225" s="170" t="s">
        <v>331</v>
      </c>
      <c r="E225" s="22" t="s">
        <v>20</v>
      </c>
      <c r="F225" s="48" t="s">
        <v>332</v>
      </c>
      <c r="G225" s="30" t="s">
        <v>331</v>
      </c>
      <c r="H225" s="26" t="str">
        <f t="shared" si="24"/>
        <v>Confirm if the COO &amp;  CFO has approved the PR and the approver name captured in Approver fields</v>
      </c>
      <c r="I225" s="26"/>
      <c r="J225" s="26"/>
      <c r="K225" s="22"/>
      <c r="L225" s="22"/>
      <c r="M225" s="22"/>
      <c r="N225" s="22"/>
      <c r="O225" s="22"/>
      <c r="P225" s="35"/>
      <c r="Q225" s="22"/>
      <c r="R225" s="22"/>
      <c r="S225" s="166" t="s">
        <v>209</v>
      </c>
    </row>
    <row r="226" spans="1:19">
      <c r="A226" s="213"/>
      <c r="B226" s="208"/>
      <c r="C226" s="212"/>
      <c r="D226" s="170" t="s">
        <v>334</v>
      </c>
      <c r="E226" s="22" t="s">
        <v>20</v>
      </c>
      <c r="F226" s="48" t="s">
        <v>335</v>
      </c>
      <c r="G226" s="30" t="s">
        <v>334</v>
      </c>
      <c r="H226" s="26" t="str">
        <f t="shared" si="24"/>
        <v>Confirm if the CEO has approved the PR and the approver name captured in Approver fields</v>
      </c>
      <c r="I226" s="26"/>
      <c r="J226" s="26"/>
      <c r="K226" s="22"/>
      <c r="L226" s="22"/>
      <c r="M226" s="22"/>
      <c r="N226" s="22"/>
      <c r="O226" s="22"/>
      <c r="P226" s="35"/>
      <c r="Q226" s="22"/>
      <c r="R226" s="22"/>
      <c r="S226" s="166" t="s">
        <v>209</v>
      </c>
    </row>
    <row r="227" spans="1:19">
      <c r="A227" s="209" t="s">
        <v>553</v>
      </c>
      <c r="B227" s="210"/>
      <c r="C227" s="210"/>
      <c r="D227" s="210"/>
      <c r="E227" s="210"/>
      <c r="F227" s="210"/>
      <c r="G227" s="210"/>
      <c r="H227" s="210"/>
      <c r="I227" s="210"/>
      <c r="J227" s="210"/>
      <c r="K227" s="210"/>
      <c r="L227" s="210"/>
      <c r="M227" s="210"/>
      <c r="N227" s="210"/>
      <c r="O227" s="210"/>
      <c r="P227" s="210"/>
      <c r="Q227" s="210"/>
      <c r="R227" s="210"/>
      <c r="S227" s="214"/>
    </row>
    <row r="228" spans="1:19">
      <c r="A228" s="213" t="s">
        <v>554</v>
      </c>
      <c r="B228" s="206"/>
      <c r="C228" s="212" t="s">
        <v>372</v>
      </c>
      <c r="D228" s="147" t="s">
        <v>373</v>
      </c>
      <c r="E228" s="22" t="s">
        <v>20</v>
      </c>
      <c r="F228" s="48" t="s">
        <v>374</v>
      </c>
      <c r="G228" s="30" t="s">
        <v>373</v>
      </c>
      <c r="H228" s="26" t="str">
        <f t="shared" ref="H228:H231" si="25">_xlfn.CONCAT("Confirm if the ",D228," ", "has approved the PR and the approver name captured in Approver fields")</f>
        <v>Confirm if the VP / SVP has approved the PR and the approver name captured in Approver fields</v>
      </c>
      <c r="I228" s="26"/>
      <c r="J228" s="26"/>
      <c r="K228" s="22"/>
      <c r="L228" s="22"/>
      <c r="M228" s="22"/>
      <c r="N228" s="22"/>
      <c r="O228" s="22"/>
      <c r="P228" s="35"/>
      <c r="Q228" s="22"/>
      <c r="R228" s="22"/>
      <c r="S228" s="166" t="s">
        <v>209</v>
      </c>
    </row>
    <row r="229" spans="1:19" ht="32.1">
      <c r="A229" s="213"/>
      <c r="B229" s="207"/>
      <c r="C229" s="212"/>
      <c r="D229" s="170" t="s">
        <v>368</v>
      </c>
      <c r="E229" s="22" t="s">
        <v>20</v>
      </c>
      <c r="F229" s="48" t="s">
        <v>375</v>
      </c>
      <c r="G229" s="30" t="s">
        <v>369</v>
      </c>
      <c r="H229" s="26" t="str">
        <f t="shared" si="25"/>
        <v>Confirm if the Corporate Controller has approved the PR and the approver name captured in Approver fields</v>
      </c>
      <c r="I229" s="26"/>
      <c r="J229" s="26"/>
      <c r="K229" s="22"/>
      <c r="L229" s="22"/>
      <c r="M229" s="22"/>
      <c r="N229" s="22"/>
      <c r="O229" s="22"/>
      <c r="P229" s="35"/>
      <c r="Q229" s="22"/>
      <c r="R229" s="22"/>
      <c r="S229" s="166" t="s">
        <v>209</v>
      </c>
    </row>
    <row r="230" spans="1:19" ht="32.1">
      <c r="A230" s="213"/>
      <c r="B230" s="207"/>
      <c r="C230" s="212"/>
      <c r="D230" s="147" t="s">
        <v>331</v>
      </c>
      <c r="E230" s="22" t="s">
        <v>20</v>
      </c>
      <c r="F230" s="48" t="s">
        <v>332</v>
      </c>
      <c r="G230" s="30" t="s">
        <v>331</v>
      </c>
      <c r="H230" s="26" t="str">
        <f t="shared" si="25"/>
        <v>Confirm if the COO &amp;  CFO has approved the PR and the approver name captured in Approver fields</v>
      </c>
      <c r="I230" s="26"/>
      <c r="J230" s="26"/>
      <c r="K230" s="22"/>
      <c r="L230" s="22"/>
      <c r="M230" s="22"/>
      <c r="N230" s="22"/>
      <c r="O230" s="22"/>
      <c r="P230" s="35"/>
      <c r="Q230" s="22"/>
      <c r="R230" s="22"/>
      <c r="S230" s="166" t="s">
        <v>209</v>
      </c>
    </row>
    <row r="231" spans="1:19">
      <c r="A231" s="213"/>
      <c r="B231" s="208"/>
      <c r="C231" s="212"/>
      <c r="D231" s="147" t="s">
        <v>334</v>
      </c>
      <c r="E231" s="22" t="s">
        <v>20</v>
      </c>
      <c r="F231" s="48" t="s">
        <v>335</v>
      </c>
      <c r="G231" s="30" t="s">
        <v>334</v>
      </c>
      <c r="H231" s="26" t="str">
        <f t="shared" si="25"/>
        <v>Confirm if the CEO has approved the PR and the approver name captured in Approver fields</v>
      </c>
      <c r="I231" s="26"/>
      <c r="J231" s="26"/>
      <c r="K231" s="22"/>
      <c r="L231" s="22"/>
      <c r="M231" s="22"/>
      <c r="N231" s="22"/>
      <c r="O231" s="22"/>
      <c r="P231" s="35"/>
      <c r="Q231" s="22"/>
      <c r="R231" s="22"/>
      <c r="S231" s="166" t="s">
        <v>209</v>
      </c>
    </row>
    <row r="232" spans="1:19">
      <c r="A232" s="209" t="s">
        <v>555</v>
      </c>
      <c r="B232" s="210"/>
      <c r="C232" s="210"/>
      <c r="D232" s="210"/>
      <c r="E232" s="210"/>
      <c r="F232" s="210"/>
      <c r="G232" s="210"/>
      <c r="H232" s="210"/>
      <c r="I232" s="210"/>
      <c r="J232" s="210"/>
      <c r="K232" s="210"/>
      <c r="L232" s="210"/>
      <c r="M232" s="210"/>
      <c r="N232" s="210"/>
      <c r="O232" s="210"/>
      <c r="P232" s="210"/>
      <c r="Q232" s="210"/>
      <c r="R232" s="210"/>
      <c r="S232" s="214"/>
    </row>
    <row r="233" spans="1:19">
      <c r="A233" s="213" t="s">
        <v>556</v>
      </c>
      <c r="B233" s="206"/>
      <c r="C233" s="212" t="s">
        <v>378</v>
      </c>
      <c r="D233" s="147" t="s">
        <v>373</v>
      </c>
      <c r="E233" s="22" t="s">
        <v>20</v>
      </c>
      <c r="F233" s="29" t="s">
        <v>329</v>
      </c>
      <c r="G233" s="30" t="s">
        <v>373</v>
      </c>
      <c r="H233" s="26" t="str">
        <f t="shared" ref="H233:H235" si="26">_xlfn.CONCAT("Confirm if the ",D233," ", "has approved the PR and the approver name captured in Approver fields")</f>
        <v>Confirm if the VP / SVP has approved the PR and the approver name captured in Approver fields</v>
      </c>
      <c r="I233" s="26"/>
      <c r="J233" s="26"/>
      <c r="K233" s="22"/>
      <c r="L233" s="22"/>
      <c r="M233" s="22"/>
      <c r="N233" s="22"/>
      <c r="O233" s="22"/>
      <c r="P233" s="35"/>
      <c r="Q233" s="22"/>
      <c r="R233" s="22"/>
      <c r="S233" s="166" t="s">
        <v>209</v>
      </c>
    </row>
    <row r="234" spans="1:19" ht="32.1">
      <c r="A234" s="213"/>
      <c r="B234" s="207"/>
      <c r="C234" s="212"/>
      <c r="D234" s="147" t="s">
        <v>331</v>
      </c>
      <c r="E234" s="22" t="s">
        <v>20</v>
      </c>
      <c r="F234" s="29" t="s">
        <v>332</v>
      </c>
      <c r="G234" s="30" t="s">
        <v>331</v>
      </c>
      <c r="H234" s="26" t="str">
        <f t="shared" si="26"/>
        <v>Confirm if the COO &amp;  CFO has approved the PR and the approver name captured in Approver fields</v>
      </c>
      <c r="I234" s="26"/>
      <c r="J234" s="26"/>
      <c r="K234" s="22"/>
      <c r="L234" s="22"/>
      <c r="M234" s="22"/>
      <c r="N234" s="22"/>
      <c r="O234" s="22"/>
      <c r="P234" s="35"/>
      <c r="Q234" s="22"/>
      <c r="R234" s="22"/>
      <c r="S234" s="166" t="s">
        <v>209</v>
      </c>
    </row>
    <row r="235" spans="1:19">
      <c r="A235" s="213"/>
      <c r="B235" s="208"/>
      <c r="C235" s="212"/>
      <c r="D235" s="147" t="s">
        <v>334</v>
      </c>
      <c r="E235" s="22" t="s">
        <v>20</v>
      </c>
      <c r="F235" s="29" t="s">
        <v>335</v>
      </c>
      <c r="G235" s="30" t="s">
        <v>334</v>
      </c>
      <c r="H235" s="26" t="str">
        <f t="shared" si="26"/>
        <v>Confirm if the CEO has approved the PR and the approver name captured in Approver fields</v>
      </c>
      <c r="I235" s="26"/>
      <c r="J235" s="26"/>
      <c r="K235" s="22"/>
      <c r="L235" s="22"/>
      <c r="M235" s="22"/>
      <c r="N235" s="22"/>
      <c r="O235" s="22"/>
      <c r="P235" s="35"/>
      <c r="Q235" s="22"/>
      <c r="R235" s="22"/>
      <c r="S235" s="166" t="s">
        <v>209</v>
      </c>
    </row>
    <row r="236" spans="1:19">
      <c r="A236" s="209" t="s">
        <v>557</v>
      </c>
      <c r="B236" s="210"/>
      <c r="C236" s="210"/>
      <c r="D236" s="210"/>
      <c r="E236" s="210"/>
      <c r="F236" s="210"/>
      <c r="G236" s="210"/>
      <c r="H236" s="210"/>
      <c r="I236" s="210"/>
      <c r="J236" s="210"/>
      <c r="K236" s="210"/>
      <c r="L236" s="210"/>
      <c r="M236" s="210"/>
      <c r="N236" s="210"/>
      <c r="O236" s="210"/>
      <c r="P236" s="210"/>
      <c r="Q236" s="210"/>
      <c r="R236" s="210"/>
      <c r="S236" s="214"/>
    </row>
    <row r="237" spans="1:19" ht="32.1">
      <c r="A237" s="213" t="s">
        <v>558</v>
      </c>
      <c r="B237" s="206"/>
      <c r="C237" s="212" t="s">
        <v>381</v>
      </c>
      <c r="D237" s="147" t="s">
        <v>382</v>
      </c>
      <c r="E237" s="22" t="s">
        <v>20</v>
      </c>
      <c r="F237" s="48" t="s">
        <v>329</v>
      </c>
      <c r="G237" s="30" t="s">
        <v>382</v>
      </c>
      <c r="H237" s="26" t="str">
        <f t="shared" ref="H237:H239" si="27">_xlfn.CONCAT("Confirm if the ",D237," ", "has approved the PR and the approver name captured in Approver fields")</f>
        <v>Confirm if the Chief Compliance Officer has approved the PR and the approver name captured in Approver fields</v>
      </c>
      <c r="I237" s="26"/>
      <c r="J237" s="26"/>
      <c r="K237" s="22"/>
      <c r="L237" s="22"/>
      <c r="M237" s="22"/>
      <c r="N237" s="22"/>
      <c r="O237" s="22"/>
      <c r="P237" s="35"/>
      <c r="Q237" s="22"/>
      <c r="R237" s="22"/>
      <c r="S237" s="166" t="s">
        <v>209</v>
      </c>
    </row>
    <row r="238" spans="1:19" ht="32.1">
      <c r="A238" s="213"/>
      <c r="B238" s="207"/>
      <c r="C238" s="212"/>
      <c r="D238" s="147" t="s">
        <v>331</v>
      </c>
      <c r="E238" s="22" t="s">
        <v>20</v>
      </c>
      <c r="F238" s="48" t="s">
        <v>332</v>
      </c>
      <c r="G238" s="30" t="s">
        <v>331</v>
      </c>
      <c r="H238" s="26" t="str">
        <f t="shared" si="27"/>
        <v>Confirm if the COO &amp;  CFO has approved the PR and the approver name captured in Approver fields</v>
      </c>
      <c r="I238" s="26"/>
      <c r="J238" s="26"/>
      <c r="K238" s="22"/>
      <c r="L238" s="22"/>
      <c r="M238" s="22"/>
      <c r="N238" s="22"/>
      <c r="O238" s="22"/>
      <c r="P238" s="35"/>
      <c r="Q238" s="22"/>
      <c r="R238" s="22"/>
      <c r="S238" s="166" t="s">
        <v>209</v>
      </c>
    </row>
    <row r="239" spans="1:19">
      <c r="A239" s="213"/>
      <c r="B239" s="208"/>
      <c r="C239" s="212"/>
      <c r="D239" s="147" t="s">
        <v>334</v>
      </c>
      <c r="E239" s="22" t="s">
        <v>20</v>
      </c>
      <c r="F239" s="48" t="s">
        <v>335</v>
      </c>
      <c r="G239" s="30" t="s">
        <v>334</v>
      </c>
      <c r="H239" s="26" t="str">
        <f t="shared" si="27"/>
        <v>Confirm if the CEO has approved the PR and the approver name captured in Approver fields</v>
      </c>
      <c r="I239" s="26"/>
      <c r="J239" s="26"/>
      <c r="K239" s="22"/>
      <c r="L239" s="22"/>
      <c r="M239" s="22"/>
      <c r="N239" s="22"/>
      <c r="O239" s="22"/>
      <c r="P239" s="35"/>
      <c r="Q239" s="22"/>
      <c r="R239" s="22"/>
      <c r="S239" s="166" t="s">
        <v>209</v>
      </c>
    </row>
    <row r="240" spans="1:19">
      <c r="A240" s="209" t="s">
        <v>559</v>
      </c>
      <c r="B240" s="210"/>
      <c r="C240" s="210"/>
      <c r="D240" s="210"/>
      <c r="E240" s="210"/>
      <c r="F240" s="210"/>
      <c r="G240" s="210"/>
      <c r="H240" s="210"/>
      <c r="I240" s="210"/>
      <c r="J240" s="210"/>
      <c r="K240" s="210"/>
      <c r="L240" s="210"/>
      <c r="M240" s="210"/>
      <c r="N240" s="210"/>
      <c r="O240" s="210"/>
      <c r="P240" s="210"/>
      <c r="Q240" s="210"/>
      <c r="R240" s="210"/>
      <c r="S240" s="214"/>
    </row>
    <row r="241" spans="1:19" ht="128.1">
      <c r="A241" s="213" t="s">
        <v>560</v>
      </c>
      <c r="B241" s="206"/>
      <c r="C241" s="212" t="s">
        <v>385</v>
      </c>
      <c r="D241" s="147" t="s">
        <v>340</v>
      </c>
      <c r="E241" s="22" t="s">
        <v>20</v>
      </c>
      <c r="F241" s="48" t="s">
        <v>341</v>
      </c>
      <c r="G241" s="30" t="s">
        <v>386</v>
      </c>
      <c r="H241" s="26" t="str">
        <f t="shared" ref="H241:H244" si="28">_xlfn.CONCAT("Confirm if the ",D241," ", "has approved the PR and the approver name captured in Approver fields")</f>
        <v>Confirm if the Director / Senior Director has approved the PR and the approver name captured in Approver fields</v>
      </c>
      <c r="I241" s="26"/>
      <c r="J241" s="26"/>
      <c r="K241" s="22"/>
      <c r="L241" s="22"/>
      <c r="M241" s="22"/>
      <c r="N241" s="22"/>
      <c r="O241" s="22"/>
      <c r="P241" s="35"/>
      <c r="Q241" s="22"/>
      <c r="R241" s="22"/>
      <c r="S241" s="166" t="s">
        <v>209</v>
      </c>
    </row>
    <row r="242" spans="1:19" ht="32.1">
      <c r="A242" s="213"/>
      <c r="B242" s="207"/>
      <c r="C242" s="212"/>
      <c r="D242" s="147" t="s">
        <v>387</v>
      </c>
      <c r="E242" s="22" t="s">
        <v>20</v>
      </c>
      <c r="F242" s="48" t="s">
        <v>343</v>
      </c>
      <c r="G242" s="30" t="s">
        <v>387</v>
      </c>
      <c r="H242" s="26" t="str">
        <f t="shared" si="28"/>
        <v>Confirm if the CTO or SVP - Global Head of Engineering has approved the PR and the approver name captured in Approver fields</v>
      </c>
      <c r="I242" s="26"/>
      <c r="J242" s="26"/>
      <c r="K242" s="22"/>
      <c r="L242" s="22"/>
      <c r="M242" s="22"/>
      <c r="N242" s="22"/>
      <c r="O242" s="22"/>
      <c r="P242" s="35"/>
      <c r="Q242" s="22"/>
      <c r="R242" s="22"/>
      <c r="S242" s="166" t="s">
        <v>209</v>
      </c>
    </row>
    <row r="243" spans="1:19" ht="32.1">
      <c r="A243" s="213"/>
      <c r="B243" s="207"/>
      <c r="C243" s="212"/>
      <c r="D243" s="147" t="s">
        <v>331</v>
      </c>
      <c r="E243" s="22" t="s">
        <v>20</v>
      </c>
      <c r="F243" s="48" t="s">
        <v>332</v>
      </c>
      <c r="G243" s="30" t="s">
        <v>331</v>
      </c>
      <c r="H243" s="26" t="str">
        <f t="shared" si="28"/>
        <v>Confirm if the COO &amp;  CFO has approved the PR and the approver name captured in Approver fields</v>
      </c>
      <c r="I243" s="26"/>
      <c r="J243" s="26"/>
      <c r="K243" s="22"/>
      <c r="L243" s="22"/>
      <c r="M243" s="22"/>
      <c r="N243" s="22"/>
      <c r="O243" s="22"/>
      <c r="P243" s="35"/>
      <c r="Q243" s="22"/>
      <c r="R243" s="22"/>
      <c r="S243" s="166" t="s">
        <v>209</v>
      </c>
    </row>
    <row r="244" spans="1:19">
      <c r="A244" s="213"/>
      <c r="B244" s="208"/>
      <c r="C244" s="212"/>
      <c r="D244" s="147" t="s">
        <v>334</v>
      </c>
      <c r="E244" s="22" t="s">
        <v>20</v>
      </c>
      <c r="F244" s="48" t="s">
        <v>335</v>
      </c>
      <c r="G244" s="30" t="s">
        <v>334</v>
      </c>
      <c r="H244" s="26" t="str">
        <f t="shared" si="28"/>
        <v>Confirm if the CEO has approved the PR and the approver name captured in Approver fields</v>
      </c>
      <c r="I244" s="26"/>
      <c r="J244" s="26"/>
      <c r="K244" s="22"/>
      <c r="L244" s="22"/>
      <c r="M244" s="22"/>
      <c r="N244" s="22"/>
      <c r="O244" s="22"/>
      <c r="P244" s="35"/>
      <c r="Q244" s="22"/>
      <c r="R244" s="22"/>
      <c r="S244" s="166" t="s">
        <v>209</v>
      </c>
    </row>
    <row r="245" spans="1:19">
      <c r="A245" s="209" t="s">
        <v>561</v>
      </c>
      <c r="B245" s="210"/>
      <c r="C245" s="210"/>
      <c r="D245" s="210"/>
      <c r="E245" s="210"/>
      <c r="F245" s="210"/>
      <c r="G245" s="210"/>
      <c r="H245" s="210"/>
      <c r="I245" s="210"/>
      <c r="J245" s="210"/>
      <c r="K245" s="210"/>
      <c r="L245" s="210"/>
      <c r="M245" s="210"/>
      <c r="N245" s="210"/>
      <c r="O245" s="210"/>
      <c r="P245" s="210"/>
      <c r="Q245" s="210"/>
      <c r="R245" s="210"/>
      <c r="S245" s="214"/>
    </row>
    <row r="246" spans="1:19" ht="32.1">
      <c r="A246" s="206" t="s">
        <v>562</v>
      </c>
      <c r="B246" s="206"/>
      <c r="C246" s="221" t="s">
        <v>390</v>
      </c>
      <c r="D246" s="147" t="s">
        <v>391</v>
      </c>
      <c r="E246" s="22" t="s">
        <v>20</v>
      </c>
      <c r="F246" s="48" t="s">
        <v>329</v>
      </c>
      <c r="G246" s="30" t="s">
        <v>391</v>
      </c>
      <c r="H246" s="26" t="str">
        <f t="shared" ref="H246:H248" si="29">_xlfn.CONCAT("Confirm if the ",D246," ", "has approved the PR and the approver name captured in Approver fields")</f>
        <v>Confirm if the Chief Revenue Officer has approved the PR and the approver name captured in Approver fields</v>
      </c>
      <c r="I246" s="26"/>
      <c r="J246" s="26"/>
      <c r="K246" s="22"/>
      <c r="L246" s="22"/>
      <c r="M246" s="22"/>
      <c r="N246" s="22"/>
      <c r="O246" s="22"/>
      <c r="P246" s="35"/>
      <c r="Q246" s="22"/>
      <c r="R246" s="22"/>
      <c r="S246" s="166" t="s">
        <v>209</v>
      </c>
    </row>
    <row r="247" spans="1:19" ht="32.1">
      <c r="A247" s="207"/>
      <c r="B247" s="207"/>
      <c r="C247" s="222"/>
      <c r="D247" s="147" t="s">
        <v>331</v>
      </c>
      <c r="E247" s="22" t="s">
        <v>20</v>
      </c>
      <c r="F247" s="48" t="s">
        <v>332</v>
      </c>
      <c r="G247" s="30" t="s">
        <v>331</v>
      </c>
      <c r="H247" s="26" t="str">
        <f t="shared" si="29"/>
        <v>Confirm if the COO &amp;  CFO has approved the PR and the approver name captured in Approver fields</v>
      </c>
      <c r="I247" s="26"/>
      <c r="J247" s="26"/>
      <c r="K247" s="22"/>
      <c r="L247" s="22"/>
      <c r="M247" s="22"/>
      <c r="N247" s="22"/>
      <c r="O247" s="22"/>
      <c r="P247" s="35"/>
      <c r="Q247" s="22"/>
      <c r="R247" s="22"/>
      <c r="S247" s="166" t="s">
        <v>209</v>
      </c>
    </row>
    <row r="248" spans="1:19">
      <c r="A248" s="208"/>
      <c r="B248" s="208"/>
      <c r="C248" s="223"/>
      <c r="D248" s="147" t="s">
        <v>334</v>
      </c>
      <c r="E248" s="22" t="s">
        <v>20</v>
      </c>
      <c r="F248" s="48" t="s">
        <v>335</v>
      </c>
      <c r="G248" s="30" t="s">
        <v>334</v>
      </c>
      <c r="H248" s="26" t="str">
        <f t="shared" si="29"/>
        <v>Confirm if the CEO has approved the PR and the approver name captured in Approver fields</v>
      </c>
      <c r="I248" s="26"/>
      <c r="J248" s="26"/>
      <c r="K248" s="22"/>
      <c r="L248" s="22"/>
      <c r="M248" s="22"/>
      <c r="N248" s="22"/>
      <c r="O248" s="22"/>
      <c r="P248" s="35"/>
      <c r="Q248" s="22"/>
      <c r="R248" s="22"/>
      <c r="S248" s="166" t="s">
        <v>209</v>
      </c>
    </row>
    <row r="249" spans="1:19">
      <c r="A249" s="209" t="s">
        <v>563</v>
      </c>
      <c r="B249" s="210"/>
      <c r="C249" s="210"/>
      <c r="D249" s="210"/>
      <c r="E249" s="210"/>
      <c r="F249" s="210"/>
      <c r="G249" s="210"/>
      <c r="H249" s="210"/>
      <c r="I249" s="210"/>
      <c r="J249" s="210"/>
      <c r="K249" s="210"/>
      <c r="L249" s="210"/>
      <c r="M249" s="210"/>
      <c r="N249" s="210"/>
      <c r="O249" s="210"/>
      <c r="P249" s="210"/>
      <c r="Q249" s="210"/>
      <c r="R249" s="210"/>
      <c r="S249" s="211"/>
    </row>
    <row r="250" spans="1:19" ht="32.1">
      <c r="A250" s="206" t="s">
        <v>564</v>
      </c>
      <c r="B250" s="206"/>
      <c r="C250" s="221" t="s">
        <v>394</v>
      </c>
      <c r="D250" s="147" t="s">
        <v>395</v>
      </c>
      <c r="E250" s="22" t="s">
        <v>20</v>
      </c>
      <c r="F250" s="48" t="s">
        <v>329</v>
      </c>
      <c r="G250" s="153" t="s">
        <v>395</v>
      </c>
      <c r="H250" s="26" t="str">
        <f t="shared" ref="H250:H252" si="30">_xlfn.CONCAT("Confirm if the ",D250," ", "has approved the PR and the approver name captured in Approver fields")</f>
        <v>Confirm if the Senior Director - Cloud Operations has approved the PR and the approver name captured in Approver fields</v>
      </c>
      <c r="I250" s="26"/>
      <c r="J250" s="26"/>
      <c r="K250" s="22"/>
      <c r="L250" s="22"/>
      <c r="M250" s="22"/>
      <c r="N250" s="22"/>
      <c r="O250" s="22"/>
      <c r="P250" s="35"/>
      <c r="Q250" s="22"/>
      <c r="R250" s="22"/>
      <c r="S250" s="166" t="s">
        <v>209</v>
      </c>
    </row>
    <row r="251" spans="1:19" ht="32.1">
      <c r="A251" s="207"/>
      <c r="B251" s="207"/>
      <c r="C251" s="222"/>
      <c r="D251" s="170" t="s">
        <v>331</v>
      </c>
      <c r="E251" s="22" t="s">
        <v>20</v>
      </c>
      <c r="F251" s="48" t="s">
        <v>332</v>
      </c>
      <c r="G251" s="154" t="s">
        <v>331</v>
      </c>
      <c r="H251" s="26" t="str">
        <f t="shared" si="30"/>
        <v>Confirm if the COO &amp;  CFO has approved the PR and the approver name captured in Approver fields</v>
      </c>
      <c r="I251" s="26"/>
      <c r="J251" s="26"/>
      <c r="K251" s="22"/>
      <c r="L251" s="22"/>
      <c r="M251" s="22"/>
      <c r="N251" s="22"/>
      <c r="O251" s="22"/>
      <c r="P251" s="35"/>
      <c r="Q251" s="22"/>
      <c r="R251" s="22"/>
      <c r="S251" s="166" t="s">
        <v>209</v>
      </c>
    </row>
    <row r="252" spans="1:19">
      <c r="A252" s="208"/>
      <c r="B252" s="208"/>
      <c r="C252" s="223"/>
      <c r="D252" s="170" t="s">
        <v>334</v>
      </c>
      <c r="E252" s="22" t="s">
        <v>20</v>
      </c>
      <c r="F252" s="48" t="s">
        <v>335</v>
      </c>
      <c r="G252" s="154" t="s">
        <v>334</v>
      </c>
      <c r="H252" s="26" t="str">
        <f t="shared" si="30"/>
        <v>Confirm if the CEO has approved the PR and the approver name captured in Approver fields</v>
      </c>
      <c r="I252" s="26"/>
      <c r="J252" s="26"/>
      <c r="K252" s="22"/>
      <c r="L252" s="22"/>
      <c r="M252" s="22"/>
      <c r="N252" s="22"/>
      <c r="O252" s="22"/>
      <c r="P252" s="35"/>
      <c r="Q252" s="22"/>
      <c r="R252" s="22"/>
      <c r="S252" s="166" t="s">
        <v>209</v>
      </c>
    </row>
    <row r="253" spans="1:19">
      <c r="A253" s="209" t="s">
        <v>565</v>
      </c>
      <c r="B253" s="210"/>
      <c r="C253" s="210"/>
      <c r="D253" s="210"/>
      <c r="E253" s="210"/>
      <c r="F253" s="210"/>
      <c r="G253" s="210"/>
      <c r="H253" s="210"/>
      <c r="I253" s="210"/>
      <c r="J253" s="210"/>
      <c r="K253" s="210"/>
      <c r="L253" s="210"/>
      <c r="M253" s="210"/>
      <c r="N253" s="210"/>
      <c r="O253" s="210"/>
      <c r="P253" s="210"/>
      <c r="Q253" s="210"/>
      <c r="R253" s="210"/>
      <c r="S253" s="211"/>
    </row>
    <row r="254" spans="1:19" ht="32.1">
      <c r="A254" s="206" t="s">
        <v>566</v>
      </c>
      <c r="B254" s="206"/>
      <c r="C254" s="221" t="s">
        <v>398</v>
      </c>
      <c r="D254" s="147" t="s">
        <v>399</v>
      </c>
      <c r="E254" s="22" t="s">
        <v>20</v>
      </c>
      <c r="F254" s="48" t="s">
        <v>329</v>
      </c>
      <c r="G254" s="30" t="s">
        <v>399</v>
      </c>
      <c r="H254" s="26" t="str">
        <f t="shared" ref="H254:H256" si="31">_xlfn.CONCAT("Confirm if the ",D254," ", "has approved the PR and the approver name captured in Approver fields")</f>
        <v>Confirm if the Chief Marketing Officer has approved the PR and the approver name captured in Approver fields</v>
      </c>
      <c r="I254" s="26"/>
      <c r="J254" s="26"/>
      <c r="K254" s="22"/>
      <c r="L254" s="22"/>
      <c r="M254" s="22"/>
      <c r="N254" s="22"/>
      <c r="O254" s="22"/>
      <c r="P254" s="35"/>
      <c r="Q254" s="22"/>
      <c r="R254" s="22"/>
      <c r="S254" s="166" t="s">
        <v>209</v>
      </c>
    </row>
    <row r="255" spans="1:19" ht="32.1">
      <c r="A255" s="207"/>
      <c r="B255" s="207"/>
      <c r="C255" s="222"/>
      <c r="D255" s="147" t="s">
        <v>331</v>
      </c>
      <c r="E255" s="22" t="s">
        <v>20</v>
      </c>
      <c r="F255" s="48" t="s">
        <v>332</v>
      </c>
      <c r="G255" s="30" t="s">
        <v>331</v>
      </c>
      <c r="H255" s="26" t="str">
        <f t="shared" si="31"/>
        <v>Confirm if the COO &amp;  CFO has approved the PR and the approver name captured in Approver fields</v>
      </c>
      <c r="I255" s="26"/>
      <c r="J255" s="26"/>
      <c r="K255" s="22"/>
      <c r="L255" s="22"/>
      <c r="M255" s="22"/>
      <c r="N255" s="22"/>
      <c r="O255" s="22"/>
      <c r="P255" s="35"/>
      <c r="Q255" s="22"/>
      <c r="R255" s="22"/>
      <c r="S255" s="166" t="s">
        <v>209</v>
      </c>
    </row>
    <row r="256" spans="1:19">
      <c r="A256" s="208"/>
      <c r="B256" s="208"/>
      <c r="C256" s="223"/>
      <c r="D256" s="147" t="s">
        <v>334</v>
      </c>
      <c r="E256" s="22" t="s">
        <v>20</v>
      </c>
      <c r="F256" s="48" t="s">
        <v>335</v>
      </c>
      <c r="G256" s="30" t="s">
        <v>334</v>
      </c>
      <c r="H256" s="26" t="str">
        <f t="shared" si="31"/>
        <v>Confirm if the CEO has approved the PR and the approver name captured in Approver fields</v>
      </c>
      <c r="I256" s="26"/>
      <c r="J256" s="26"/>
      <c r="K256" s="22"/>
      <c r="L256" s="22"/>
      <c r="M256" s="22"/>
      <c r="N256" s="22"/>
      <c r="O256" s="22"/>
      <c r="P256" s="35"/>
      <c r="Q256" s="22"/>
      <c r="R256" s="22"/>
      <c r="S256" s="166" t="s">
        <v>209</v>
      </c>
    </row>
    <row r="257" spans="1:19">
      <c r="A257" s="209" t="s">
        <v>567</v>
      </c>
      <c r="B257" s="210"/>
      <c r="C257" s="210"/>
      <c r="D257" s="210"/>
      <c r="E257" s="210"/>
      <c r="F257" s="210"/>
      <c r="G257" s="210"/>
      <c r="H257" s="210"/>
      <c r="I257" s="210"/>
      <c r="J257" s="210"/>
      <c r="K257" s="210"/>
      <c r="L257" s="210"/>
      <c r="M257" s="210"/>
      <c r="N257" s="210"/>
      <c r="O257" s="210"/>
      <c r="P257" s="210"/>
      <c r="Q257" s="210"/>
      <c r="R257" s="210"/>
      <c r="S257" s="214"/>
    </row>
    <row r="258" spans="1:19" ht="32.1">
      <c r="A258" s="213" t="s">
        <v>568</v>
      </c>
      <c r="B258" s="206"/>
      <c r="C258" s="212" t="s">
        <v>402</v>
      </c>
      <c r="D258" s="147" t="s">
        <v>403</v>
      </c>
      <c r="E258" s="22" t="s">
        <v>20</v>
      </c>
      <c r="F258" s="48" t="s">
        <v>329</v>
      </c>
      <c r="G258" s="30" t="s">
        <v>403</v>
      </c>
      <c r="H258" s="26" t="str">
        <f t="shared" ref="H258:H260" si="32">_xlfn.CONCAT("Confirm if the ",D258," ", "has approved the PR and the approver name captured in Approver fields")</f>
        <v>Confirm if the Chief Product Manager has approved the PR and the approver name captured in Approver fields</v>
      </c>
      <c r="I258" s="26"/>
      <c r="J258" s="26"/>
      <c r="K258" s="22"/>
      <c r="L258" s="22"/>
      <c r="M258" s="22"/>
      <c r="N258" s="22"/>
      <c r="O258" s="22"/>
      <c r="P258" s="35"/>
      <c r="Q258" s="22"/>
      <c r="R258" s="22"/>
      <c r="S258" s="166" t="s">
        <v>209</v>
      </c>
    </row>
    <row r="259" spans="1:19" ht="32.1">
      <c r="A259" s="213"/>
      <c r="B259" s="207"/>
      <c r="C259" s="212"/>
      <c r="D259" s="147" t="s">
        <v>331</v>
      </c>
      <c r="E259" s="22" t="s">
        <v>20</v>
      </c>
      <c r="F259" s="48" t="s">
        <v>332</v>
      </c>
      <c r="G259" s="30" t="s">
        <v>331</v>
      </c>
      <c r="H259" s="26" t="str">
        <f t="shared" si="32"/>
        <v>Confirm if the COO &amp;  CFO has approved the PR and the approver name captured in Approver fields</v>
      </c>
      <c r="I259" s="26"/>
      <c r="J259" s="26"/>
      <c r="K259" s="22"/>
      <c r="L259" s="22"/>
      <c r="M259" s="22"/>
      <c r="N259" s="22"/>
      <c r="O259" s="22"/>
      <c r="P259" s="35"/>
      <c r="Q259" s="22"/>
      <c r="R259" s="22"/>
      <c r="S259" s="166" t="s">
        <v>209</v>
      </c>
    </row>
    <row r="260" spans="1:19">
      <c r="A260" s="213"/>
      <c r="B260" s="208"/>
      <c r="C260" s="212"/>
      <c r="D260" s="147" t="s">
        <v>334</v>
      </c>
      <c r="E260" s="22" t="s">
        <v>20</v>
      </c>
      <c r="F260" s="48" t="s">
        <v>335</v>
      </c>
      <c r="G260" s="30" t="s">
        <v>334</v>
      </c>
      <c r="H260" s="26" t="str">
        <f t="shared" si="32"/>
        <v>Confirm if the CEO has approved the PR and the approver name captured in Approver fields</v>
      </c>
      <c r="I260" s="26"/>
      <c r="J260" s="26"/>
      <c r="K260" s="22"/>
      <c r="L260" s="22"/>
      <c r="M260" s="22"/>
      <c r="N260" s="22"/>
      <c r="O260" s="22"/>
      <c r="P260" s="35"/>
      <c r="Q260" s="22"/>
      <c r="R260" s="22"/>
      <c r="S260" s="166" t="s">
        <v>209</v>
      </c>
    </row>
    <row r="261" spans="1:19">
      <c r="A261" s="209" t="s">
        <v>569</v>
      </c>
      <c r="B261" s="210"/>
      <c r="C261" s="210"/>
      <c r="D261" s="210"/>
      <c r="E261" s="210"/>
      <c r="F261" s="210"/>
      <c r="G261" s="210"/>
      <c r="H261" s="210"/>
      <c r="I261" s="210"/>
      <c r="J261" s="210"/>
      <c r="K261" s="210"/>
      <c r="L261" s="210"/>
      <c r="M261" s="210"/>
      <c r="N261" s="210"/>
      <c r="O261" s="210"/>
      <c r="P261" s="210"/>
      <c r="Q261" s="210"/>
      <c r="R261" s="210"/>
      <c r="S261" s="214"/>
    </row>
    <row r="262" spans="1:19" ht="32.1">
      <c r="A262" s="213" t="s">
        <v>570</v>
      </c>
      <c r="B262" s="206"/>
      <c r="C262" s="212" t="s">
        <v>571</v>
      </c>
      <c r="D262" s="147" t="s">
        <v>340</v>
      </c>
      <c r="E262" s="22" t="s">
        <v>20</v>
      </c>
      <c r="F262" s="29" t="s">
        <v>341</v>
      </c>
      <c r="G262" s="30" t="s">
        <v>340</v>
      </c>
      <c r="H262" s="26" t="str">
        <f t="shared" ref="H262:H273" si="33">_xlfn.CONCAT("Confirm if the ",D262," ", "has approved the PR and the approver name captured in Approver fields")</f>
        <v>Confirm if the Director / Senior Director has approved the PR and the approver name captured in Approver fields</v>
      </c>
      <c r="I262" s="26"/>
      <c r="J262" s="26"/>
      <c r="K262" s="22"/>
      <c r="L262" s="22"/>
      <c r="M262" s="22"/>
      <c r="N262" s="22"/>
      <c r="O262" s="22"/>
      <c r="P262" s="35"/>
      <c r="Q262" s="22"/>
      <c r="R262" s="22"/>
      <c r="S262" s="166" t="s">
        <v>209</v>
      </c>
    </row>
    <row r="263" spans="1:19" ht="32.1">
      <c r="A263" s="213"/>
      <c r="B263" s="207"/>
      <c r="C263" s="212"/>
      <c r="D263" s="147" t="s">
        <v>407</v>
      </c>
      <c r="E263" s="22" t="s">
        <v>20</v>
      </c>
      <c r="F263" s="29" t="s">
        <v>343</v>
      </c>
      <c r="G263" s="30" t="s">
        <v>407</v>
      </c>
      <c r="H263" s="26" t="str">
        <f t="shared" si="33"/>
        <v>Confirm if the SVP &amp; Global Head - Risk has approved the PR and the approver name captured in Approver fields</v>
      </c>
      <c r="I263" s="26"/>
      <c r="J263" s="26"/>
      <c r="K263" s="22"/>
      <c r="L263" s="22"/>
      <c r="M263" s="22"/>
      <c r="N263" s="22"/>
      <c r="O263" s="22"/>
      <c r="P263" s="35"/>
      <c r="Q263" s="22"/>
      <c r="R263" s="22"/>
      <c r="S263" s="166" t="s">
        <v>209</v>
      </c>
    </row>
    <row r="264" spans="1:19" ht="32.1">
      <c r="A264" s="213"/>
      <c r="B264" s="207"/>
      <c r="C264" s="212"/>
      <c r="D264" s="147" t="s">
        <v>331</v>
      </c>
      <c r="E264" s="22" t="s">
        <v>20</v>
      </c>
      <c r="F264" s="29" t="s">
        <v>332</v>
      </c>
      <c r="G264" s="30" t="s">
        <v>331</v>
      </c>
      <c r="H264" s="26" t="str">
        <f t="shared" si="33"/>
        <v>Confirm if the COO &amp;  CFO has approved the PR and the approver name captured in Approver fields</v>
      </c>
      <c r="I264" s="26"/>
      <c r="J264" s="26"/>
      <c r="K264" s="22"/>
      <c r="L264" s="22"/>
      <c r="M264" s="22"/>
      <c r="N264" s="22"/>
      <c r="O264" s="22"/>
      <c r="P264" s="35"/>
      <c r="Q264" s="22"/>
      <c r="R264" s="22"/>
      <c r="S264" s="166" t="s">
        <v>209</v>
      </c>
    </row>
    <row r="265" spans="1:19">
      <c r="A265" s="213"/>
      <c r="B265" s="208"/>
      <c r="C265" s="212"/>
      <c r="D265" s="147" t="s">
        <v>334</v>
      </c>
      <c r="E265" s="22" t="s">
        <v>20</v>
      </c>
      <c r="F265" s="29" t="s">
        <v>335</v>
      </c>
      <c r="G265" s="30" t="s">
        <v>334</v>
      </c>
      <c r="H265" s="26" t="str">
        <f t="shared" si="33"/>
        <v>Confirm if the CEO has approved the PR and the approver name captured in Approver fields</v>
      </c>
      <c r="I265" s="26"/>
      <c r="J265" s="26"/>
      <c r="K265" s="22"/>
      <c r="L265" s="22"/>
      <c r="M265" s="22"/>
      <c r="N265" s="22"/>
      <c r="O265" s="22"/>
      <c r="P265" s="35"/>
      <c r="Q265" s="22"/>
      <c r="R265" s="22"/>
      <c r="S265" s="166" t="s">
        <v>209</v>
      </c>
    </row>
    <row r="266" spans="1:19">
      <c r="A266" s="209" t="s">
        <v>572</v>
      </c>
      <c r="B266" s="210"/>
      <c r="C266" s="210"/>
      <c r="D266" s="210"/>
      <c r="E266" s="210"/>
      <c r="F266" s="210"/>
      <c r="G266" s="210"/>
      <c r="H266" s="210"/>
      <c r="I266" s="210"/>
      <c r="J266" s="210"/>
      <c r="K266" s="210"/>
      <c r="L266" s="210"/>
      <c r="M266" s="210"/>
      <c r="N266" s="210"/>
      <c r="O266" s="210"/>
      <c r="P266" s="210"/>
      <c r="Q266" s="210"/>
      <c r="R266" s="210"/>
      <c r="S266" s="214"/>
    </row>
    <row r="267" spans="1:19">
      <c r="A267" s="206" t="s">
        <v>573</v>
      </c>
      <c r="B267" s="206"/>
      <c r="C267" s="236" t="s">
        <v>410</v>
      </c>
      <c r="D267" s="171" t="s">
        <v>411</v>
      </c>
      <c r="E267" s="22"/>
      <c r="F267" s="155" t="s">
        <v>329</v>
      </c>
      <c r="G267" s="156" t="s">
        <v>411</v>
      </c>
      <c r="H267" s="26" t="str">
        <f t="shared" si="33"/>
        <v>Confirm if the VP has approved the PR and the approver name captured in Approver fields</v>
      </c>
      <c r="I267" s="26"/>
      <c r="J267" s="26"/>
      <c r="K267" s="22"/>
      <c r="L267" s="22"/>
      <c r="M267" s="22"/>
      <c r="N267" s="22"/>
      <c r="O267" s="22"/>
      <c r="P267" s="35"/>
      <c r="Q267" s="22"/>
      <c r="R267" s="22"/>
      <c r="S267" s="166" t="s">
        <v>209</v>
      </c>
    </row>
    <row r="268" spans="1:19" ht="32.1">
      <c r="A268" s="207"/>
      <c r="B268" s="207"/>
      <c r="C268" s="237"/>
      <c r="D268" s="171" t="s">
        <v>331</v>
      </c>
      <c r="E268" s="22"/>
      <c r="F268" s="155" t="s">
        <v>332</v>
      </c>
      <c r="G268" s="156" t="s">
        <v>331</v>
      </c>
      <c r="H268" s="26" t="str">
        <f t="shared" si="33"/>
        <v>Confirm if the COO &amp;  CFO has approved the PR and the approver name captured in Approver fields</v>
      </c>
      <c r="I268" s="26"/>
      <c r="J268" s="26"/>
      <c r="K268" s="22"/>
      <c r="L268" s="22"/>
      <c r="M268" s="22"/>
      <c r="N268" s="22"/>
      <c r="O268" s="22"/>
      <c r="P268" s="35"/>
      <c r="Q268" s="22"/>
      <c r="R268" s="22"/>
      <c r="S268" s="166" t="s">
        <v>209</v>
      </c>
    </row>
    <row r="269" spans="1:19">
      <c r="A269" s="208"/>
      <c r="B269" s="278"/>
      <c r="C269" s="238"/>
      <c r="D269" s="171" t="s">
        <v>334</v>
      </c>
      <c r="E269" s="22"/>
      <c r="F269" s="155" t="s">
        <v>335</v>
      </c>
      <c r="G269" s="156" t="s">
        <v>334</v>
      </c>
      <c r="H269" s="26" t="str">
        <f t="shared" si="33"/>
        <v>Confirm if the CEO has approved the PR and the approver name captured in Approver fields</v>
      </c>
      <c r="I269" s="26"/>
      <c r="J269" s="26"/>
      <c r="K269" s="22"/>
      <c r="L269" s="22"/>
      <c r="M269" s="22"/>
      <c r="N269" s="22"/>
      <c r="O269" s="22"/>
      <c r="P269" s="35"/>
      <c r="Q269" s="22"/>
      <c r="R269" s="22"/>
      <c r="S269" s="166" t="s">
        <v>209</v>
      </c>
    </row>
    <row r="270" spans="1:19">
      <c r="A270" s="209" t="s">
        <v>574</v>
      </c>
      <c r="B270" s="210"/>
      <c r="C270" s="210"/>
      <c r="D270" s="210"/>
      <c r="E270" s="210"/>
      <c r="F270" s="210"/>
      <c r="G270" s="210"/>
      <c r="H270" s="210"/>
      <c r="I270" s="210"/>
      <c r="J270" s="210"/>
      <c r="K270" s="210"/>
      <c r="L270" s="210"/>
      <c r="M270" s="210"/>
      <c r="N270" s="210"/>
      <c r="O270" s="210"/>
      <c r="P270" s="210"/>
      <c r="Q270" s="210"/>
      <c r="R270" s="210"/>
      <c r="S270" s="214"/>
    </row>
    <row r="271" spans="1:19">
      <c r="A271" s="239" t="s">
        <v>575</v>
      </c>
      <c r="B271" s="279"/>
      <c r="C271" s="239" t="s">
        <v>414</v>
      </c>
      <c r="D271" s="171" t="s">
        <v>415</v>
      </c>
      <c r="E271" s="155"/>
      <c r="F271" s="155" t="s">
        <v>329</v>
      </c>
      <c r="G271" s="156" t="s">
        <v>415</v>
      </c>
      <c r="H271" s="26" t="str">
        <f t="shared" si="33"/>
        <v>Confirm if the CTO has approved the PR and the approver name captured in Approver fields</v>
      </c>
      <c r="I271" s="155"/>
      <c r="J271" s="155"/>
      <c r="K271" s="155"/>
      <c r="L271" s="155"/>
      <c r="M271" s="155"/>
      <c r="N271" s="155"/>
      <c r="O271" s="155"/>
      <c r="P271" s="155"/>
      <c r="Q271" s="155"/>
      <c r="R271" s="155"/>
      <c r="S271" s="166" t="s">
        <v>209</v>
      </c>
    </row>
    <row r="272" spans="1:19" ht="32.1">
      <c r="A272" s="240"/>
      <c r="B272" s="240"/>
      <c r="C272" s="240"/>
      <c r="D272" s="171" t="s">
        <v>331</v>
      </c>
      <c r="E272" s="155"/>
      <c r="F272" s="155" t="s">
        <v>332</v>
      </c>
      <c r="G272" s="156" t="s">
        <v>331</v>
      </c>
      <c r="H272" s="26" t="str">
        <f t="shared" si="33"/>
        <v>Confirm if the COO &amp;  CFO has approved the PR and the approver name captured in Approver fields</v>
      </c>
      <c r="I272" s="155"/>
      <c r="J272" s="155"/>
      <c r="K272" s="155"/>
      <c r="L272" s="155"/>
      <c r="M272" s="155"/>
      <c r="N272" s="155"/>
      <c r="O272" s="155"/>
      <c r="P272" s="155"/>
      <c r="Q272" s="155"/>
      <c r="R272" s="155"/>
      <c r="S272" s="166" t="s">
        <v>209</v>
      </c>
    </row>
    <row r="273" spans="1:19">
      <c r="A273" s="241"/>
      <c r="B273" s="241"/>
      <c r="C273" s="241"/>
      <c r="D273" s="171" t="s">
        <v>334</v>
      </c>
      <c r="E273" s="155"/>
      <c r="F273" s="155" t="s">
        <v>335</v>
      </c>
      <c r="G273" s="156" t="s">
        <v>334</v>
      </c>
      <c r="H273" s="26" t="str">
        <f t="shared" si="33"/>
        <v>Confirm if the CEO has approved the PR and the approver name captured in Approver fields</v>
      </c>
      <c r="I273" s="155"/>
      <c r="J273" s="155"/>
      <c r="K273" s="155"/>
      <c r="L273" s="155"/>
      <c r="M273" s="155"/>
      <c r="N273" s="155"/>
      <c r="O273" s="155"/>
      <c r="P273" s="155"/>
      <c r="Q273" s="155"/>
      <c r="R273" s="155"/>
      <c r="S273" s="166" t="s">
        <v>209</v>
      </c>
    </row>
    <row r="274" spans="1:19" ht="63.95">
      <c r="A274" s="206" t="s">
        <v>576</v>
      </c>
      <c r="B274" s="21"/>
      <c r="C274" s="29" t="s">
        <v>417</v>
      </c>
      <c r="D274" s="35" t="s">
        <v>418</v>
      </c>
      <c r="E274" s="22" t="s">
        <v>20</v>
      </c>
      <c r="F274" s="31" t="s">
        <v>419</v>
      </c>
      <c r="G274" s="25" t="str">
        <f>_xlfn.CONCAT(D274, " will approve the PR")</f>
        <v>CFO will approve the PR</v>
      </c>
      <c r="H274" s="26" t="str">
        <f>_xlfn.CONCAT("Confirm if ",D274," approved the PR")</f>
        <v>Confirm if CFO approved the PR</v>
      </c>
      <c r="I274" s="26"/>
      <c r="J274" s="26"/>
      <c r="K274" s="22"/>
      <c r="L274" s="22"/>
      <c r="M274" s="22"/>
      <c r="N274" s="22"/>
      <c r="O274" s="22"/>
      <c r="P274" s="35"/>
      <c r="Q274" s="22"/>
      <c r="R274" s="22"/>
      <c r="S274" s="166" t="s">
        <v>209</v>
      </c>
    </row>
    <row r="275" spans="1:19" ht="63.95">
      <c r="A275" s="207"/>
      <c r="B275" s="21"/>
      <c r="C275" s="29" t="s">
        <v>420</v>
      </c>
      <c r="D275" s="35" t="s">
        <v>421</v>
      </c>
      <c r="E275" s="22" t="s">
        <v>20</v>
      </c>
      <c r="F275" s="31" t="s">
        <v>422</v>
      </c>
      <c r="G275" s="25" t="str">
        <f t="shared" ref="G275:G284" si="34">_xlfn.CONCAT(D275, " will approve the PR")</f>
        <v>FPA &amp; CFO will approve the PR</v>
      </c>
      <c r="H275" s="26" t="str">
        <f t="shared" ref="H275:H284" si="35">_xlfn.CONCAT("Confirm if ",D275," approved the PR")</f>
        <v>Confirm if FPA &amp; CFO approved the PR</v>
      </c>
      <c r="I275" s="26"/>
      <c r="J275" s="26"/>
      <c r="K275" s="22"/>
      <c r="L275" s="22"/>
      <c r="M275" s="22"/>
      <c r="N275" s="22"/>
      <c r="O275" s="22"/>
      <c r="P275" s="35"/>
      <c r="Q275" s="22"/>
      <c r="R275" s="22"/>
      <c r="S275" s="166" t="s">
        <v>209</v>
      </c>
    </row>
    <row r="276" spans="1:19" ht="63.95">
      <c r="A276" s="207"/>
      <c r="B276" s="21"/>
      <c r="C276" s="29" t="s">
        <v>423</v>
      </c>
      <c r="D276" s="35" t="s">
        <v>424</v>
      </c>
      <c r="E276" s="22" t="s">
        <v>20</v>
      </c>
      <c r="F276" s="31" t="s">
        <v>425</v>
      </c>
      <c r="G276" s="25" t="str">
        <f t="shared" si="34"/>
        <v xml:space="preserve"> FPA will approve the PR</v>
      </c>
      <c r="H276" s="26" t="str">
        <f t="shared" si="35"/>
        <v>Confirm if  FPA approved the PR</v>
      </c>
      <c r="I276" s="26"/>
      <c r="J276" s="26"/>
      <c r="K276" s="22"/>
      <c r="L276" s="22"/>
      <c r="M276" s="22"/>
      <c r="N276" s="22"/>
      <c r="O276" s="22"/>
      <c r="P276" s="35"/>
      <c r="Q276" s="22"/>
      <c r="R276" s="22"/>
      <c r="S276" s="166" t="s">
        <v>209</v>
      </c>
    </row>
    <row r="277" spans="1:19" ht="63.95">
      <c r="A277" s="207"/>
      <c r="B277" s="21"/>
      <c r="C277" s="29" t="s">
        <v>426</v>
      </c>
      <c r="D277" s="35" t="s">
        <v>368</v>
      </c>
      <c r="E277" s="22" t="s">
        <v>20</v>
      </c>
      <c r="F277" s="31" t="s">
        <v>427</v>
      </c>
      <c r="G277" s="25" t="str">
        <f t="shared" si="34"/>
        <v>Corporate Controller will approve the PR</v>
      </c>
      <c r="H277" s="26" t="str">
        <f t="shared" si="35"/>
        <v>Confirm if Corporate Controller approved the PR</v>
      </c>
      <c r="I277" s="26"/>
      <c r="J277" s="26"/>
      <c r="K277" s="22"/>
      <c r="L277" s="22"/>
      <c r="M277" s="22"/>
      <c r="N277" s="22"/>
      <c r="O277" s="22"/>
      <c r="P277" s="35"/>
      <c r="Q277" s="22"/>
      <c r="R277" s="22"/>
      <c r="S277" s="166" t="s">
        <v>209</v>
      </c>
    </row>
    <row r="278" spans="1:19" ht="63.95">
      <c r="A278" s="207"/>
      <c r="B278" s="21"/>
      <c r="C278" s="29" t="s">
        <v>428</v>
      </c>
      <c r="D278" s="35" t="s">
        <v>429</v>
      </c>
      <c r="E278" s="22" t="s">
        <v>20</v>
      </c>
      <c r="F278" s="31" t="s">
        <v>430</v>
      </c>
      <c r="G278" s="25" t="str">
        <f>_xlfn.CONCAT(D278, " will approve the PR")</f>
        <v>Corporate Controller &amp; CFO will approve the PR</v>
      </c>
      <c r="H278" s="26" t="str">
        <f t="shared" si="35"/>
        <v>Confirm if Corporate Controller &amp; CFO approved the PR</v>
      </c>
      <c r="I278" s="26"/>
      <c r="J278" s="26"/>
      <c r="K278" s="22"/>
      <c r="L278" s="22"/>
      <c r="M278" s="22"/>
      <c r="N278" s="22"/>
      <c r="O278" s="22"/>
      <c r="P278" s="35"/>
      <c r="Q278" s="22"/>
      <c r="R278" s="22"/>
      <c r="S278" s="166" t="s">
        <v>209</v>
      </c>
    </row>
    <row r="279" spans="1:19" ht="63.95">
      <c r="A279" s="207"/>
      <c r="B279" s="21"/>
      <c r="C279" s="29" t="s">
        <v>428</v>
      </c>
      <c r="D279" s="35" t="s">
        <v>431</v>
      </c>
      <c r="E279" s="22" t="s">
        <v>20</v>
      </c>
      <c r="F279" s="31" t="s">
        <v>432</v>
      </c>
      <c r="G279" s="25" t="str">
        <f t="shared" si="34"/>
        <v>COO &amp; CFO will approve the PR</v>
      </c>
      <c r="H279" s="26" t="str">
        <f t="shared" si="35"/>
        <v>Confirm if COO &amp; CFO approved the PR</v>
      </c>
      <c r="I279" s="26"/>
      <c r="J279" s="26"/>
      <c r="K279" s="22"/>
      <c r="L279" s="22"/>
      <c r="M279" s="22"/>
      <c r="N279" s="22"/>
      <c r="O279" s="22"/>
      <c r="P279" s="35"/>
      <c r="Q279" s="22"/>
      <c r="R279" s="22"/>
      <c r="S279" s="166" t="s">
        <v>209</v>
      </c>
    </row>
    <row r="280" spans="1:19" ht="80.099999999999994">
      <c r="A280" s="207"/>
      <c r="B280" s="21"/>
      <c r="C280" s="29" t="s">
        <v>426</v>
      </c>
      <c r="D280" s="35" t="s">
        <v>433</v>
      </c>
      <c r="E280" s="22" t="s">
        <v>20</v>
      </c>
      <c r="F280" s="31" t="s">
        <v>434</v>
      </c>
      <c r="G280" s="25" t="str">
        <f t="shared" si="34"/>
        <v>COO will approve the PR</v>
      </c>
      <c r="H280" s="26" t="str">
        <f t="shared" si="35"/>
        <v>Confirm if COO approved the PR</v>
      </c>
      <c r="I280" s="26"/>
      <c r="J280" s="26"/>
      <c r="K280" s="22"/>
      <c r="L280" s="22"/>
      <c r="M280" s="22"/>
      <c r="N280" s="22"/>
      <c r="O280" s="22"/>
      <c r="P280" s="35"/>
      <c r="Q280" s="22"/>
      <c r="R280" s="22"/>
      <c r="S280" s="166" t="s">
        <v>209</v>
      </c>
    </row>
    <row r="281" spans="1:19" ht="63.95">
      <c r="A281" s="207"/>
      <c r="B281" s="21"/>
      <c r="C281" s="29" t="s">
        <v>435</v>
      </c>
      <c r="D281" s="35" t="s">
        <v>436</v>
      </c>
      <c r="E281" s="22" t="s">
        <v>20</v>
      </c>
      <c r="F281" s="31" t="s">
        <v>437</v>
      </c>
      <c r="G281" s="25" t="str">
        <f t="shared" si="34"/>
        <v xml:space="preserve"> FPA, Corporate Controller &amp; CFO will approve the PR</v>
      </c>
      <c r="H281" s="26" t="str">
        <f t="shared" si="35"/>
        <v>Confirm if  FPA, Corporate Controller &amp; CFO approved the PR</v>
      </c>
      <c r="I281" s="26"/>
      <c r="J281" s="26"/>
      <c r="K281" s="22"/>
      <c r="L281" s="22"/>
      <c r="M281" s="22"/>
      <c r="N281" s="22"/>
      <c r="O281" s="22"/>
      <c r="P281" s="35"/>
      <c r="Q281" s="22"/>
      <c r="R281" s="22"/>
      <c r="S281" s="166" t="s">
        <v>209</v>
      </c>
    </row>
    <row r="282" spans="1:19" ht="63.95">
      <c r="A282" s="207"/>
      <c r="B282" s="21"/>
      <c r="C282" s="29" t="s">
        <v>438</v>
      </c>
      <c r="D282" s="35" t="s">
        <v>439</v>
      </c>
      <c r="E282" s="22" t="s">
        <v>20</v>
      </c>
      <c r="F282" s="31" t="s">
        <v>440</v>
      </c>
      <c r="G282" s="25" t="str">
        <f t="shared" si="34"/>
        <v>FPA &amp; Corporate Controller will approve the PR</v>
      </c>
      <c r="H282" s="26" t="str">
        <f t="shared" si="35"/>
        <v>Confirm if FPA &amp; Corporate Controller approved the PR</v>
      </c>
      <c r="I282" s="26"/>
      <c r="J282" s="26"/>
      <c r="K282" s="22"/>
      <c r="L282" s="22"/>
      <c r="M282" s="22"/>
      <c r="N282" s="22"/>
      <c r="O282" s="22"/>
      <c r="P282" s="35"/>
      <c r="Q282" s="22"/>
      <c r="R282" s="22"/>
      <c r="S282" s="166" t="s">
        <v>209</v>
      </c>
    </row>
    <row r="283" spans="1:19" ht="80.099999999999994">
      <c r="A283" s="207"/>
      <c r="B283" s="21"/>
      <c r="C283" s="29" t="s">
        <v>435</v>
      </c>
      <c r="D283" s="35" t="s">
        <v>441</v>
      </c>
      <c r="E283" s="22" t="s">
        <v>20</v>
      </c>
      <c r="F283" s="31" t="s">
        <v>442</v>
      </c>
      <c r="G283" s="25" t="str">
        <f t="shared" si="34"/>
        <v>FPA, COO, &amp; CFO will approve the PR</v>
      </c>
      <c r="H283" s="26" t="str">
        <f t="shared" si="35"/>
        <v>Confirm if FPA, COO, &amp; CFO approved the PR</v>
      </c>
      <c r="I283" s="26"/>
      <c r="J283" s="26"/>
      <c r="K283" s="22"/>
      <c r="L283" s="22"/>
      <c r="M283" s="22"/>
      <c r="N283" s="22"/>
      <c r="O283" s="22"/>
      <c r="P283" s="35"/>
      <c r="Q283" s="22"/>
      <c r="R283" s="22"/>
      <c r="S283" s="166" t="s">
        <v>209</v>
      </c>
    </row>
    <row r="284" spans="1:19" ht="80.099999999999994">
      <c r="A284" s="208"/>
      <c r="B284" s="21"/>
      <c r="C284" s="29" t="s">
        <v>438</v>
      </c>
      <c r="D284" s="35" t="s">
        <v>443</v>
      </c>
      <c r="E284" s="22" t="s">
        <v>20</v>
      </c>
      <c r="F284" s="31" t="s">
        <v>444</v>
      </c>
      <c r="G284" s="25" t="str">
        <f t="shared" si="34"/>
        <v>FPA &amp; COO will approve the PR</v>
      </c>
      <c r="H284" s="26" t="str">
        <f t="shared" si="35"/>
        <v>Confirm if FPA &amp; COO approved the PR</v>
      </c>
      <c r="I284" s="26"/>
      <c r="J284" s="26"/>
      <c r="K284" s="22"/>
      <c r="L284" s="22"/>
      <c r="M284" s="22"/>
      <c r="N284" s="22"/>
      <c r="O284" s="22"/>
      <c r="P284" s="35"/>
      <c r="Q284" s="22"/>
      <c r="R284" s="22"/>
      <c r="S284" s="166" t="s">
        <v>209</v>
      </c>
    </row>
    <row r="285" spans="1:19">
      <c r="A285" s="209" t="s">
        <v>577</v>
      </c>
      <c r="B285" s="219"/>
      <c r="C285" s="219"/>
      <c r="D285" s="219"/>
      <c r="E285" s="219"/>
      <c r="F285" s="219"/>
      <c r="G285" s="219"/>
      <c r="H285" s="219"/>
      <c r="I285" s="219"/>
      <c r="J285" s="219"/>
      <c r="K285" s="219"/>
      <c r="L285" s="219"/>
      <c r="M285" s="219"/>
      <c r="N285" s="219"/>
      <c r="O285" s="219"/>
      <c r="P285" s="219"/>
      <c r="Q285" s="219"/>
      <c r="R285" s="219"/>
      <c r="S285" s="220"/>
    </row>
    <row r="286" spans="1:19" ht="32.1">
      <c r="A286" s="206" t="s">
        <v>578</v>
      </c>
      <c r="B286" s="206"/>
      <c r="C286" s="234" t="s">
        <v>294</v>
      </c>
      <c r="D286" s="227" t="s">
        <v>295</v>
      </c>
      <c r="E286" s="22" t="s">
        <v>20</v>
      </c>
      <c r="F286" s="234" t="s">
        <v>294</v>
      </c>
      <c r="G286" s="25" t="s">
        <v>296</v>
      </c>
      <c r="H286" s="26" t="s">
        <v>297</v>
      </c>
      <c r="I286" s="26"/>
      <c r="J286" s="26"/>
      <c r="K286" s="22"/>
      <c r="L286" s="22"/>
      <c r="M286" s="22"/>
      <c r="N286" s="22"/>
      <c r="O286" s="22"/>
      <c r="P286" s="35"/>
      <c r="Q286" s="22"/>
      <c r="R286" s="22"/>
      <c r="S286" s="166" t="s">
        <v>209</v>
      </c>
    </row>
    <row r="287" spans="1:19">
      <c r="A287" s="207"/>
      <c r="B287" s="207"/>
      <c r="C287" s="242"/>
      <c r="D287" s="228"/>
      <c r="E287" s="22" t="s">
        <v>109</v>
      </c>
      <c r="F287" s="242"/>
      <c r="G287" s="25" t="s">
        <v>298</v>
      </c>
      <c r="H287" s="26" t="s">
        <v>299</v>
      </c>
      <c r="I287" s="26"/>
      <c r="J287" s="26"/>
      <c r="K287" s="22"/>
      <c r="L287" s="22"/>
      <c r="M287" s="22"/>
      <c r="N287" s="22"/>
      <c r="O287" s="22"/>
      <c r="P287" s="35"/>
      <c r="Q287" s="22"/>
      <c r="R287" s="22"/>
      <c r="S287" s="166" t="s">
        <v>209</v>
      </c>
    </row>
    <row r="288" spans="1:19">
      <c r="A288" s="207"/>
      <c r="B288" s="207"/>
      <c r="C288" s="242"/>
      <c r="D288" s="228"/>
      <c r="E288" s="51" t="s">
        <v>167</v>
      </c>
      <c r="F288" s="242"/>
      <c r="G288" s="79" t="s">
        <v>300</v>
      </c>
      <c r="H288" s="80" t="s">
        <v>301</v>
      </c>
      <c r="I288" s="80"/>
      <c r="J288" s="80"/>
      <c r="K288" s="51"/>
      <c r="L288" s="51"/>
      <c r="M288" s="51"/>
      <c r="N288" s="51"/>
      <c r="O288" s="51"/>
      <c r="P288" s="47"/>
      <c r="Q288" s="51"/>
      <c r="R288" s="51"/>
      <c r="S288" s="166" t="s">
        <v>209</v>
      </c>
    </row>
    <row r="289" spans="1:22" ht="32.1">
      <c r="A289" s="208"/>
      <c r="B289" s="208"/>
      <c r="C289" s="235"/>
      <c r="D289" s="248"/>
      <c r="E289" s="22" t="s">
        <v>170</v>
      </c>
      <c r="F289" s="243"/>
      <c r="G289" s="25" t="s">
        <v>302</v>
      </c>
      <c r="H289" s="26" t="s">
        <v>303</v>
      </c>
      <c r="I289" s="26"/>
      <c r="J289" s="26"/>
      <c r="K289" s="22"/>
      <c r="L289" s="22"/>
      <c r="M289" s="22"/>
      <c r="N289" s="22"/>
      <c r="O289" s="22"/>
      <c r="P289" s="35"/>
      <c r="Q289" s="22"/>
      <c r="R289" s="22"/>
      <c r="S289" s="166" t="s">
        <v>209</v>
      </c>
    </row>
    <row r="290" spans="1:22">
      <c r="A290" s="209" t="s">
        <v>579</v>
      </c>
      <c r="B290" s="210"/>
      <c r="C290" s="210"/>
      <c r="D290" s="210"/>
      <c r="E290" s="210"/>
      <c r="F290" s="210"/>
      <c r="G290" s="210"/>
      <c r="H290" s="210"/>
      <c r="I290" s="210"/>
      <c r="J290" s="210"/>
      <c r="K290" s="210"/>
      <c r="L290" s="210"/>
      <c r="M290" s="210"/>
      <c r="N290" s="210"/>
      <c r="O290" s="210"/>
      <c r="P290" s="210"/>
      <c r="Q290" s="210"/>
      <c r="R290" s="210"/>
      <c r="S290" s="214"/>
    </row>
    <row r="291" spans="1:22" ht="32.1">
      <c r="A291" s="21" t="s">
        <v>580</v>
      </c>
      <c r="B291" s="21"/>
      <c r="C291" s="21" t="s">
        <v>305</v>
      </c>
      <c r="D291" s="35" t="s">
        <v>305</v>
      </c>
      <c r="E291" s="22" t="s">
        <v>20</v>
      </c>
      <c r="F291" s="31" t="s">
        <v>305</v>
      </c>
      <c r="G291" s="25" t="s">
        <v>306</v>
      </c>
      <c r="H291" s="26" t="s">
        <v>581</v>
      </c>
      <c r="I291" s="26"/>
      <c r="J291" s="26"/>
      <c r="K291" s="22"/>
      <c r="L291" s="22"/>
      <c r="M291" s="22"/>
      <c r="N291" s="22"/>
      <c r="O291" s="22"/>
      <c r="P291" s="35"/>
      <c r="Q291" s="22"/>
      <c r="R291" s="22"/>
      <c r="S291" s="166" t="s">
        <v>209</v>
      </c>
    </row>
    <row r="292" spans="1:22">
      <c r="A292" s="224" t="s">
        <v>582</v>
      </c>
      <c r="B292" s="244"/>
      <c r="C292" s="244"/>
      <c r="D292" s="244"/>
      <c r="E292" s="244"/>
      <c r="F292" s="244"/>
      <c r="G292" s="244"/>
      <c r="H292" s="244"/>
      <c r="I292" s="244"/>
      <c r="J292" s="244"/>
      <c r="K292" s="244"/>
      <c r="L292" s="244"/>
      <c r="M292" s="244"/>
      <c r="N292" s="244"/>
      <c r="O292" s="244"/>
      <c r="P292" s="244"/>
      <c r="Q292" s="244"/>
      <c r="R292" s="244"/>
      <c r="S292" s="245"/>
    </row>
    <row r="293" spans="1:22" ht="32.1">
      <c r="A293" s="206" t="s">
        <v>583</v>
      </c>
      <c r="B293" s="206"/>
      <c r="C293" s="234" t="s">
        <v>312</v>
      </c>
      <c r="D293" s="227" t="s">
        <v>454</v>
      </c>
      <c r="E293" s="22" t="s">
        <v>20</v>
      </c>
      <c r="F293" s="234" t="s">
        <v>312</v>
      </c>
      <c r="G293" s="25" t="s">
        <v>584</v>
      </c>
      <c r="H293" s="26" t="s">
        <v>585</v>
      </c>
      <c r="I293" s="26"/>
      <c r="J293" s="26"/>
      <c r="K293" s="22"/>
      <c r="L293" s="22"/>
      <c r="M293" s="22"/>
      <c r="N293" s="22"/>
      <c r="O293" s="22"/>
      <c r="P293" s="35"/>
      <c r="Q293" s="22"/>
      <c r="R293" s="22"/>
      <c r="S293" s="166" t="s">
        <v>209</v>
      </c>
    </row>
    <row r="294" spans="1:22" ht="32.1">
      <c r="A294" s="207"/>
      <c r="B294" s="207"/>
      <c r="C294" s="242"/>
      <c r="D294" s="228"/>
      <c r="E294" s="43" t="s">
        <v>109</v>
      </c>
      <c r="F294" s="233"/>
      <c r="G294" s="89" t="s">
        <v>586</v>
      </c>
      <c r="H294" s="26" t="s">
        <v>587</v>
      </c>
      <c r="I294" s="26"/>
      <c r="J294" s="26"/>
      <c r="K294" s="22"/>
      <c r="L294" s="22"/>
      <c r="M294" s="22"/>
      <c r="N294" s="22"/>
      <c r="O294" s="22"/>
      <c r="P294" s="35"/>
      <c r="Q294" s="22"/>
      <c r="R294" s="22"/>
      <c r="S294" s="166" t="s">
        <v>209</v>
      </c>
    </row>
    <row r="295" spans="1:22">
      <c r="A295" s="207"/>
      <c r="B295" s="207"/>
      <c r="C295" s="242"/>
      <c r="D295" s="228"/>
      <c r="E295" s="43" t="s">
        <v>167</v>
      </c>
      <c r="F295" s="233"/>
      <c r="G295" s="89" t="s">
        <v>588</v>
      </c>
      <c r="H295" s="26" t="s">
        <v>589</v>
      </c>
      <c r="I295" s="26"/>
      <c r="J295" s="26"/>
      <c r="K295" s="22"/>
      <c r="L295" s="22"/>
      <c r="M295" s="22"/>
      <c r="N295" s="22"/>
      <c r="O295" s="22"/>
      <c r="P295" s="35"/>
      <c r="Q295" s="22"/>
      <c r="R295" s="22"/>
      <c r="S295" s="166" t="s">
        <v>209</v>
      </c>
    </row>
    <row r="296" spans="1:22" ht="32.1">
      <c r="A296" s="208"/>
      <c r="B296" s="208"/>
      <c r="C296" s="235"/>
      <c r="D296" s="229"/>
      <c r="E296" s="43" t="s">
        <v>170</v>
      </c>
      <c r="F296" s="233"/>
      <c r="G296" s="89" t="s">
        <v>590</v>
      </c>
      <c r="H296" s="26" t="s">
        <v>591</v>
      </c>
      <c r="I296" s="26"/>
      <c r="J296" s="26"/>
      <c r="K296" s="22"/>
      <c r="L296" s="22"/>
      <c r="M296" s="22"/>
      <c r="N296" s="22"/>
      <c r="O296" s="22"/>
      <c r="P296" s="35"/>
      <c r="Q296" s="22"/>
      <c r="R296" s="22"/>
      <c r="S296" s="166" t="s">
        <v>209</v>
      </c>
    </row>
    <row r="297" spans="1:22">
      <c r="A297" s="215" t="s">
        <v>592</v>
      </c>
      <c r="B297" s="216"/>
      <c r="C297" s="216"/>
      <c r="D297" s="216"/>
      <c r="E297" s="216"/>
      <c r="F297" s="268"/>
      <c r="G297" s="216"/>
      <c r="H297" s="216"/>
      <c r="I297" s="216"/>
      <c r="J297" s="216"/>
      <c r="K297" s="216"/>
      <c r="L297" s="216"/>
      <c r="M297" s="216"/>
      <c r="N297" s="216"/>
      <c r="O297" s="216"/>
      <c r="P297" s="216"/>
      <c r="Q297" s="216"/>
      <c r="R297" s="216"/>
      <c r="S297" s="214"/>
    </row>
    <row r="298" spans="1:22">
      <c r="A298" s="209" t="s">
        <v>593</v>
      </c>
      <c r="B298" s="210"/>
      <c r="C298" s="210"/>
      <c r="D298" s="210"/>
      <c r="E298" s="210"/>
      <c r="F298" s="210"/>
      <c r="G298" s="210"/>
      <c r="H298" s="210"/>
      <c r="I298" s="210"/>
      <c r="J298" s="210"/>
      <c r="K298" s="210"/>
      <c r="L298" s="210"/>
      <c r="M298" s="210"/>
      <c r="N298" s="210"/>
      <c r="O298" s="210"/>
      <c r="P298" s="210"/>
      <c r="Q298" s="210"/>
      <c r="R298" s="210"/>
      <c r="S298" s="214"/>
    </row>
    <row r="299" spans="1:22">
      <c r="A299" s="213" t="s">
        <v>594</v>
      </c>
      <c r="B299" s="206"/>
      <c r="C299" s="213" t="s">
        <v>595</v>
      </c>
      <c r="D299" s="227" t="s">
        <v>596</v>
      </c>
      <c r="E299" s="22" t="s">
        <v>20</v>
      </c>
      <c r="F299" s="233" t="s">
        <v>597</v>
      </c>
      <c r="G299" s="25" t="s">
        <v>598</v>
      </c>
      <c r="H299" s="26"/>
      <c r="I299" s="26"/>
      <c r="J299" s="26"/>
      <c r="K299" s="22"/>
      <c r="L299" s="22"/>
      <c r="M299" s="22"/>
      <c r="N299" s="22"/>
      <c r="O299" s="22"/>
      <c r="P299" s="35"/>
      <c r="Q299" s="22"/>
      <c r="R299" s="22"/>
      <c r="S299" s="22" t="s">
        <v>209</v>
      </c>
    </row>
    <row r="300" spans="1:22" ht="80.099999999999994">
      <c r="A300" s="213"/>
      <c r="B300" s="207"/>
      <c r="C300" s="213"/>
      <c r="D300" s="229"/>
      <c r="E300" s="22" t="s">
        <v>109</v>
      </c>
      <c r="F300" s="233"/>
      <c r="G300" s="28" t="s">
        <v>599</v>
      </c>
      <c r="H300" s="26" t="s">
        <v>600</v>
      </c>
      <c r="I300" s="26"/>
      <c r="J300" s="26"/>
      <c r="K300" s="22"/>
      <c r="L300" s="22"/>
      <c r="M300" s="22"/>
      <c r="N300" s="22"/>
      <c r="O300" s="22"/>
      <c r="P300" s="35"/>
      <c r="Q300" s="22"/>
      <c r="R300" s="22"/>
      <c r="S300" s="22" t="s">
        <v>209</v>
      </c>
    </row>
    <row r="301" spans="1:22" ht="32.1">
      <c r="A301" s="213"/>
      <c r="B301" s="208"/>
      <c r="C301" s="213"/>
      <c r="D301" s="35"/>
      <c r="E301" s="22" t="s">
        <v>167</v>
      </c>
      <c r="F301" s="233"/>
      <c r="G301" s="25" t="s">
        <v>601</v>
      </c>
      <c r="H301" s="26" t="s">
        <v>602</v>
      </c>
      <c r="I301" s="26"/>
      <c r="J301" s="26"/>
      <c r="K301" s="22"/>
      <c r="L301" s="22"/>
      <c r="M301" s="22"/>
      <c r="N301" s="22"/>
      <c r="O301" s="22"/>
      <c r="P301" s="35"/>
      <c r="Q301" s="22"/>
      <c r="R301" s="22"/>
      <c r="S301" s="22" t="s">
        <v>209</v>
      </c>
    </row>
    <row r="302" spans="1:22">
      <c r="A302" s="218" t="s">
        <v>603</v>
      </c>
      <c r="B302" s="219"/>
      <c r="C302" s="210"/>
      <c r="D302" s="210"/>
      <c r="E302" s="210"/>
      <c r="F302" s="210"/>
      <c r="G302" s="210"/>
      <c r="H302" s="210"/>
      <c r="I302" s="210"/>
      <c r="J302" s="210"/>
      <c r="K302" s="210"/>
      <c r="L302" s="210"/>
      <c r="M302" s="210"/>
      <c r="N302" s="210"/>
      <c r="O302" s="210"/>
      <c r="P302" s="210"/>
      <c r="Q302" s="210"/>
      <c r="R302" s="210"/>
      <c r="S302" s="214"/>
    </row>
    <row r="303" spans="1:22">
      <c r="A303" s="213" t="s">
        <v>604</v>
      </c>
      <c r="B303" s="206">
        <v>8.3000000000000007</v>
      </c>
      <c r="C303" s="256" t="s">
        <v>595</v>
      </c>
      <c r="D303" s="227" t="s">
        <v>219</v>
      </c>
      <c r="E303" s="22" t="s">
        <v>20</v>
      </c>
      <c r="F303" s="206" t="s">
        <v>605</v>
      </c>
      <c r="G303" s="25" t="s">
        <v>503</v>
      </c>
      <c r="H303" s="25"/>
      <c r="I303" s="25"/>
      <c r="J303" s="25"/>
      <c r="K303" s="25"/>
      <c r="L303" s="25"/>
      <c r="M303" s="25"/>
      <c r="N303" s="25"/>
      <c r="O303" s="25"/>
      <c r="P303" s="25"/>
      <c r="Q303" s="25"/>
      <c r="R303" s="25"/>
      <c r="S303" s="22" t="s">
        <v>209</v>
      </c>
      <c r="T303" s="25"/>
      <c r="U303" s="25"/>
      <c r="V303" s="25"/>
    </row>
    <row r="304" spans="1:22" ht="128.1">
      <c r="A304" s="213"/>
      <c r="B304" s="207"/>
      <c r="C304" s="257"/>
      <c r="D304" s="229"/>
      <c r="E304" s="22" t="s">
        <v>109</v>
      </c>
      <c r="F304" s="207"/>
      <c r="G304" s="28" t="s">
        <v>606</v>
      </c>
      <c r="H304" s="28" t="s">
        <v>607</v>
      </c>
      <c r="I304" s="28"/>
      <c r="J304" s="28"/>
      <c r="K304" s="28"/>
      <c r="L304" s="28"/>
      <c r="M304" s="28"/>
      <c r="N304" s="28"/>
      <c r="O304" s="28"/>
      <c r="P304" s="28"/>
      <c r="Q304" s="28"/>
      <c r="R304" s="28"/>
      <c r="S304" s="22" t="s">
        <v>209</v>
      </c>
      <c r="T304" s="28"/>
      <c r="U304" s="28"/>
      <c r="V304" s="28"/>
    </row>
    <row r="305" spans="1:22" ht="48">
      <c r="A305" s="213"/>
      <c r="B305" s="207"/>
      <c r="C305" s="257"/>
      <c r="D305" s="35" t="s">
        <v>608</v>
      </c>
      <c r="E305" s="22" t="s">
        <v>167</v>
      </c>
      <c r="F305" s="208"/>
      <c r="G305" s="25" t="s">
        <v>609</v>
      </c>
      <c r="H305" s="28" t="s">
        <v>610</v>
      </c>
      <c r="I305" s="106"/>
      <c r="J305" s="106"/>
      <c r="K305" s="100"/>
      <c r="L305" s="100"/>
      <c r="M305" s="100"/>
      <c r="N305" s="100"/>
      <c r="O305" s="100"/>
      <c r="P305" s="100"/>
      <c r="Q305" s="100"/>
      <c r="R305" s="100"/>
      <c r="S305" s="22" t="s">
        <v>209</v>
      </c>
      <c r="T305" s="22"/>
      <c r="U305" s="22"/>
      <c r="V305" s="22"/>
    </row>
    <row r="306" spans="1:22">
      <c r="A306" s="213"/>
      <c r="B306" s="207"/>
      <c r="C306" s="257"/>
      <c r="D306" s="252" t="s">
        <v>611</v>
      </c>
      <c r="E306" s="22" t="s">
        <v>20</v>
      </c>
      <c r="F306" s="206" t="s">
        <v>612</v>
      </c>
      <c r="G306" s="101" t="s">
        <v>613</v>
      </c>
      <c r="H306" s="22"/>
      <c r="I306" s="95"/>
      <c r="J306" s="95"/>
      <c r="K306" s="100"/>
      <c r="L306" s="100"/>
      <c r="M306" s="100"/>
      <c r="N306" s="100"/>
      <c r="O306" s="100"/>
      <c r="P306" s="100"/>
      <c r="Q306" s="100"/>
      <c r="R306" s="100"/>
      <c r="S306" s="166" t="s">
        <v>209</v>
      </c>
      <c r="T306" s="22"/>
      <c r="U306" s="22"/>
      <c r="V306" s="22"/>
    </row>
    <row r="307" spans="1:22" ht="96">
      <c r="A307" s="213"/>
      <c r="B307" s="207"/>
      <c r="C307" s="257"/>
      <c r="D307" s="253"/>
      <c r="E307" s="22" t="s">
        <v>109</v>
      </c>
      <c r="F307" s="207"/>
      <c r="G307" s="28" t="s">
        <v>614</v>
      </c>
      <c r="H307" s="26" t="s">
        <v>615</v>
      </c>
      <c r="I307" s="26"/>
      <c r="J307" s="26"/>
      <c r="K307" s="22"/>
      <c r="L307" s="22"/>
      <c r="M307" s="22"/>
      <c r="N307" s="22"/>
      <c r="O307" s="22"/>
      <c r="P307" s="35"/>
      <c r="Q307" s="22"/>
      <c r="R307" s="22"/>
      <c r="S307" s="22" t="s">
        <v>209</v>
      </c>
    </row>
    <row r="308" spans="1:22" ht="48">
      <c r="A308" s="213"/>
      <c r="B308" s="208"/>
      <c r="C308" s="258"/>
      <c r="D308" s="35" t="s">
        <v>608</v>
      </c>
      <c r="E308" s="22" t="s">
        <v>167</v>
      </c>
      <c r="F308" s="208"/>
      <c r="G308" s="28" t="s">
        <v>616</v>
      </c>
      <c r="H308" s="28" t="s">
        <v>617</v>
      </c>
      <c r="I308" s="28"/>
      <c r="J308" s="28"/>
      <c r="K308" s="22"/>
      <c r="L308" s="22"/>
      <c r="M308" s="22"/>
      <c r="N308" s="22"/>
      <c r="O308" s="22"/>
      <c r="P308" s="35"/>
      <c r="Q308" s="22"/>
      <c r="R308" s="22"/>
      <c r="S308" s="22" t="s">
        <v>209</v>
      </c>
    </row>
    <row r="309" spans="1:22">
      <c r="A309" s="224" t="s">
        <v>618</v>
      </c>
      <c r="B309" s="225"/>
      <c r="C309" s="210"/>
      <c r="D309" s="210"/>
      <c r="E309" s="210"/>
      <c r="F309" s="210"/>
      <c r="G309" s="210"/>
      <c r="H309" s="210"/>
      <c r="I309" s="210"/>
      <c r="J309" s="210"/>
      <c r="K309" s="210"/>
      <c r="L309" s="210"/>
      <c r="M309" s="210"/>
      <c r="N309" s="210"/>
      <c r="O309" s="210"/>
      <c r="P309" s="210"/>
      <c r="Q309" s="210"/>
      <c r="R309" s="210"/>
      <c r="S309" s="214"/>
    </row>
    <row r="310" spans="1:22">
      <c r="A310" s="213" t="s">
        <v>619</v>
      </c>
      <c r="B310" s="206">
        <v>8.3000000000000007</v>
      </c>
      <c r="C310" s="213" t="s">
        <v>595</v>
      </c>
      <c r="D310" s="252" t="s">
        <v>611</v>
      </c>
      <c r="E310" s="22" t="s">
        <v>20</v>
      </c>
      <c r="F310" s="234" t="s">
        <v>620</v>
      </c>
      <c r="G310" s="44" t="s">
        <v>613</v>
      </c>
      <c r="H310" s="26"/>
      <c r="I310" s="26"/>
      <c r="J310" s="26"/>
      <c r="K310" s="22"/>
      <c r="L310" s="22"/>
      <c r="M310" s="22"/>
      <c r="N310" s="22"/>
      <c r="O310" s="22"/>
      <c r="P310" s="35"/>
      <c r="Q310" s="22"/>
      <c r="R310" s="22"/>
      <c r="S310" s="22" t="s">
        <v>209</v>
      </c>
    </row>
    <row r="311" spans="1:22" ht="63.95">
      <c r="A311" s="213"/>
      <c r="B311" s="207"/>
      <c r="C311" s="213"/>
      <c r="D311" s="253"/>
      <c r="E311" s="22" t="s">
        <v>109</v>
      </c>
      <c r="F311" s="242"/>
      <c r="G311" s="28" t="s">
        <v>621</v>
      </c>
      <c r="H311" s="26" t="s">
        <v>622</v>
      </c>
      <c r="I311" s="26"/>
      <c r="J311" s="26"/>
      <c r="K311" s="22"/>
      <c r="L311" s="22"/>
      <c r="M311" s="22"/>
      <c r="N311" s="22"/>
      <c r="O311" s="22"/>
      <c r="P311" s="35"/>
      <c r="Q311" s="22"/>
      <c r="R311" s="22"/>
      <c r="S311" s="22" t="s">
        <v>209</v>
      </c>
    </row>
    <row r="312" spans="1:22" ht="32.1">
      <c r="A312" s="213"/>
      <c r="B312" s="207"/>
      <c r="C312" s="213"/>
      <c r="D312" s="35" t="s">
        <v>608</v>
      </c>
      <c r="E312" s="22" t="s">
        <v>167</v>
      </c>
      <c r="F312" s="235"/>
      <c r="G312" s="25" t="s">
        <v>623</v>
      </c>
      <c r="H312" s="158" t="s">
        <v>624</v>
      </c>
      <c r="I312" s="158"/>
      <c r="J312" s="158"/>
      <c r="K312" s="22"/>
      <c r="L312" s="22"/>
      <c r="M312" s="22"/>
      <c r="N312" s="22"/>
      <c r="O312" s="22"/>
      <c r="P312" s="35"/>
      <c r="Q312" s="22"/>
      <c r="R312" s="22"/>
      <c r="S312" s="22" t="s">
        <v>209</v>
      </c>
    </row>
    <row r="313" spans="1:22">
      <c r="A313" s="213"/>
      <c r="B313" s="207"/>
      <c r="C313" s="213"/>
      <c r="D313" s="254" t="s">
        <v>219</v>
      </c>
      <c r="E313" s="22" t="s">
        <v>20</v>
      </c>
      <c r="F313" s="234" t="s">
        <v>625</v>
      </c>
      <c r="G313" s="44" t="s">
        <v>626</v>
      </c>
      <c r="H313" s="26"/>
      <c r="I313" s="26"/>
      <c r="J313" s="26"/>
      <c r="K313" s="22"/>
      <c r="L313" s="22"/>
      <c r="M313" s="22"/>
      <c r="N313" s="22"/>
      <c r="O313" s="22"/>
      <c r="P313" s="35"/>
      <c r="Q313" s="22"/>
      <c r="R313" s="22"/>
      <c r="S313" s="22" t="s">
        <v>209</v>
      </c>
    </row>
    <row r="314" spans="1:22" ht="63.95">
      <c r="A314" s="213"/>
      <c r="B314" s="207"/>
      <c r="C314" s="213"/>
      <c r="D314" s="255"/>
      <c r="E314" s="22" t="s">
        <v>109</v>
      </c>
      <c r="F314" s="242"/>
      <c r="G314" s="28" t="s">
        <v>627</v>
      </c>
      <c r="H314" s="26" t="s">
        <v>628</v>
      </c>
      <c r="I314" s="26"/>
      <c r="J314" s="26"/>
      <c r="K314" s="22"/>
      <c r="L314" s="22"/>
      <c r="M314" s="22"/>
      <c r="N314" s="22"/>
      <c r="O314" s="22"/>
      <c r="P314" s="35"/>
      <c r="Q314" s="22"/>
      <c r="R314" s="22"/>
      <c r="S314" s="22" t="s">
        <v>209</v>
      </c>
    </row>
    <row r="315" spans="1:22" ht="32.1">
      <c r="A315" s="213"/>
      <c r="B315" s="208"/>
      <c r="C315" s="213"/>
      <c r="D315" s="35" t="s">
        <v>608</v>
      </c>
      <c r="E315" s="22" t="s">
        <v>167</v>
      </c>
      <c r="F315" s="235"/>
      <c r="G315" s="25" t="s">
        <v>629</v>
      </c>
      <c r="H315" s="158" t="s">
        <v>630</v>
      </c>
      <c r="I315" s="158"/>
      <c r="J315" s="158"/>
      <c r="K315" s="22"/>
      <c r="L315" s="22"/>
      <c r="M315" s="22"/>
      <c r="N315" s="22"/>
      <c r="O315" s="22"/>
      <c r="P315" s="35"/>
      <c r="Q315" s="22"/>
      <c r="R315" s="22"/>
      <c r="S315" s="22" t="s">
        <v>209</v>
      </c>
    </row>
    <row r="316" spans="1:22">
      <c r="A316" s="215" t="s">
        <v>631</v>
      </c>
      <c r="B316" s="216"/>
      <c r="C316" s="216"/>
      <c r="D316" s="216"/>
      <c r="E316" s="216"/>
      <c r="F316" s="216"/>
      <c r="G316" s="216"/>
      <c r="H316" s="216"/>
      <c r="I316" s="216"/>
      <c r="J316" s="216"/>
      <c r="K316" s="216"/>
      <c r="L316" s="216"/>
      <c r="M316" s="216"/>
      <c r="N316" s="216"/>
      <c r="O316" s="216"/>
      <c r="P316" s="216"/>
      <c r="Q316" s="216"/>
      <c r="R316" s="216"/>
      <c r="S316" s="214"/>
    </row>
    <row r="317" spans="1:22">
      <c r="A317" s="213" t="s">
        <v>632</v>
      </c>
      <c r="B317" s="206">
        <v>10</v>
      </c>
      <c r="C317" s="213" t="s">
        <v>633</v>
      </c>
      <c r="D317" s="232" t="s">
        <v>219</v>
      </c>
      <c r="E317" s="22" t="s">
        <v>20</v>
      </c>
      <c r="F317" s="262" t="s">
        <v>633</v>
      </c>
      <c r="G317" s="25" t="s">
        <v>634</v>
      </c>
      <c r="H317" s="26"/>
      <c r="I317" s="26"/>
      <c r="J317" s="26"/>
      <c r="K317" s="22"/>
      <c r="L317" s="22"/>
      <c r="M317" s="22"/>
      <c r="N317" s="22"/>
      <c r="O317" s="51"/>
      <c r="P317" s="47"/>
      <c r="Q317" s="22"/>
      <c r="R317" s="22"/>
      <c r="S317" s="22" t="s">
        <v>164</v>
      </c>
    </row>
    <row r="318" spans="1:22" ht="63.95">
      <c r="A318" s="213"/>
      <c r="B318" s="207"/>
      <c r="C318" s="213"/>
      <c r="D318" s="232"/>
      <c r="E318" s="22" t="s">
        <v>109</v>
      </c>
      <c r="F318" s="262"/>
      <c r="G318" s="28" t="s">
        <v>635</v>
      </c>
      <c r="H318" s="26" t="s">
        <v>636</v>
      </c>
      <c r="I318" s="26"/>
      <c r="J318" s="26"/>
      <c r="K318" s="22"/>
      <c r="L318" s="22"/>
      <c r="M318" s="22"/>
      <c r="N318" s="43"/>
      <c r="O318" s="43"/>
      <c r="P318" s="150"/>
      <c r="Q318" s="50"/>
      <c r="R318" s="22"/>
      <c r="S318" s="22" t="s">
        <v>164</v>
      </c>
    </row>
    <row r="319" spans="1:22" ht="48">
      <c r="A319" s="213" t="s">
        <v>637</v>
      </c>
      <c r="B319" s="207"/>
      <c r="C319" s="213"/>
      <c r="D319" s="232"/>
      <c r="E319" s="22" t="s">
        <v>20</v>
      </c>
      <c r="F319" s="262" t="s">
        <v>638</v>
      </c>
      <c r="G319" s="28" t="s">
        <v>639</v>
      </c>
      <c r="H319" s="26" t="s">
        <v>640</v>
      </c>
      <c r="I319" s="26"/>
      <c r="J319" s="26"/>
      <c r="K319" s="22"/>
      <c r="L319" s="22"/>
      <c r="M319" s="22"/>
      <c r="N319" s="43"/>
      <c r="O319" s="43"/>
      <c r="P319" s="159"/>
      <c r="Q319" s="50"/>
      <c r="R319" s="22"/>
      <c r="S319" s="22" t="s">
        <v>164</v>
      </c>
    </row>
    <row r="320" spans="1:22" ht="48">
      <c r="A320" s="213"/>
      <c r="B320" s="208"/>
      <c r="C320" s="213"/>
      <c r="D320" s="232"/>
      <c r="E320" s="22" t="s">
        <v>109</v>
      </c>
      <c r="F320" s="262"/>
      <c r="G320" s="25" t="s">
        <v>641</v>
      </c>
      <c r="H320" s="26" t="s">
        <v>642</v>
      </c>
      <c r="I320" s="26"/>
      <c r="J320" s="26"/>
      <c r="K320" s="22"/>
      <c r="L320" s="22"/>
      <c r="M320" s="22"/>
      <c r="N320" s="43"/>
      <c r="O320" s="43"/>
      <c r="P320" s="150"/>
      <c r="Q320" s="50"/>
      <c r="R320" s="22"/>
      <c r="S320" s="166" t="s">
        <v>164</v>
      </c>
    </row>
    <row r="321" spans="1:19">
      <c r="A321" s="215" t="s">
        <v>643</v>
      </c>
      <c r="B321" s="216"/>
      <c r="C321" s="216"/>
      <c r="D321" s="216"/>
      <c r="E321" s="216"/>
      <c r="F321" s="216"/>
      <c r="G321" s="216"/>
      <c r="H321" s="216"/>
      <c r="I321" s="216"/>
      <c r="J321" s="216"/>
      <c r="K321" s="216"/>
      <c r="L321" s="216"/>
      <c r="M321" s="216"/>
      <c r="N321" s="216"/>
      <c r="O321" s="268"/>
      <c r="P321" s="268"/>
      <c r="Q321" s="216"/>
      <c r="R321" s="216"/>
      <c r="S321" s="214"/>
    </row>
    <row r="322" spans="1:19">
      <c r="A322" s="209" t="s">
        <v>644</v>
      </c>
      <c r="B322" s="210"/>
      <c r="C322" s="210"/>
      <c r="D322" s="210"/>
      <c r="E322" s="210"/>
      <c r="F322" s="210"/>
      <c r="G322" s="210"/>
      <c r="H322" s="210"/>
      <c r="I322" s="210"/>
      <c r="J322" s="210"/>
      <c r="K322" s="210"/>
      <c r="L322" s="210"/>
      <c r="M322" s="210"/>
      <c r="N322" s="210"/>
      <c r="O322" s="210"/>
      <c r="P322" s="210"/>
      <c r="Q322" s="210"/>
      <c r="R322" s="210"/>
      <c r="S322" s="214"/>
    </row>
    <row r="323" spans="1:19">
      <c r="A323" s="213" t="s">
        <v>645</v>
      </c>
      <c r="B323" s="206"/>
      <c r="C323" s="213" t="s">
        <v>646</v>
      </c>
      <c r="D323" s="172" t="s">
        <v>647</v>
      </c>
      <c r="E323" s="22" t="s">
        <v>20</v>
      </c>
      <c r="F323" s="233" t="s">
        <v>648</v>
      </c>
      <c r="G323" s="32" t="s">
        <v>613</v>
      </c>
      <c r="H323" s="26"/>
      <c r="I323" s="26"/>
      <c r="J323" s="26"/>
      <c r="K323" s="22"/>
      <c r="L323" s="22"/>
      <c r="M323" s="22"/>
      <c r="N323" s="22"/>
      <c r="O323" s="22"/>
      <c r="P323" s="35"/>
      <c r="Q323" s="22"/>
      <c r="R323" s="22"/>
      <c r="S323" s="22" t="s">
        <v>209</v>
      </c>
    </row>
    <row r="324" spans="1:19" ht="32.1">
      <c r="A324" s="213"/>
      <c r="B324" s="207"/>
      <c r="C324" s="213"/>
      <c r="D324" s="172" t="s">
        <v>647</v>
      </c>
      <c r="E324" s="22" t="s">
        <v>109</v>
      </c>
      <c r="F324" s="233"/>
      <c r="G324" s="32" t="s">
        <v>650</v>
      </c>
      <c r="H324" s="26" t="s">
        <v>651</v>
      </c>
      <c r="I324" s="26"/>
      <c r="J324" s="26"/>
      <c r="K324" s="22"/>
      <c r="L324" s="22"/>
      <c r="M324" s="22"/>
      <c r="N324" s="22"/>
      <c r="O324" s="22"/>
      <c r="P324" s="35"/>
      <c r="Q324" s="22"/>
      <c r="R324" s="22"/>
      <c r="S324" s="22" t="s">
        <v>209</v>
      </c>
    </row>
    <row r="325" spans="1:19" ht="80.099999999999994">
      <c r="A325" s="213"/>
      <c r="B325" s="207"/>
      <c r="C325" s="213"/>
      <c r="D325" s="232" t="s">
        <v>653</v>
      </c>
      <c r="E325" s="22" t="s">
        <v>167</v>
      </c>
      <c r="F325" s="233"/>
      <c r="G325" s="33" t="s">
        <v>654</v>
      </c>
      <c r="H325" s="26" t="s">
        <v>655</v>
      </c>
      <c r="I325" s="26"/>
      <c r="J325" s="26"/>
      <c r="K325" s="22"/>
      <c r="L325" s="22"/>
      <c r="M325" s="22"/>
      <c r="N325" s="22"/>
      <c r="O325" s="22"/>
      <c r="P325" s="35"/>
      <c r="Q325" s="22"/>
      <c r="R325" s="22"/>
      <c r="S325" s="22" t="s">
        <v>209</v>
      </c>
    </row>
    <row r="326" spans="1:19">
      <c r="A326" s="213"/>
      <c r="B326" s="208"/>
      <c r="C326" s="213"/>
      <c r="D326" s="232"/>
      <c r="E326" s="22" t="s">
        <v>170</v>
      </c>
      <c r="F326" s="233"/>
      <c r="G326" s="25" t="s">
        <v>657</v>
      </c>
      <c r="H326" s="26" t="s">
        <v>658</v>
      </c>
      <c r="I326" s="26"/>
      <c r="J326" s="26"/>
      <c r="K326" s="22"/>
      <c r="L326" s="22"/>
      <c r="M326" s="22"/>
      <c r="N326" s="22"/>
      <c r="O326" s="22"/>
      <c r="P326" s="35"/>
      <c r="Q326" s="22"/>
      <c r="R326" s="22"/>
      <c r="S326" s="22" t="s">
        <v>209</v>
      </c>
    </row>
    <row r="327" spans="1:19">
      <c r="A327" s="209" t="s">
        <v>659</v>
      </c>
      <c r="B327" s="210"/>
      <c r="C327" s="210"/>
      <c r="D327" s="210"/>
      <c r="E327" s="210"/>
      <c r="F327" s="210"/>
      <c r="G327" s="210"/>
      <c r="H327" s="210"/>
      <c r="I327" s="210"/>
      <c r="J327" s="210"/>
      <c r="K327" s="210"/>
      <c r="L327" s="210"/>
      <c r="M327" s="210"/>
      <c r="N327" s="210"/>
      <c r="O327" s="210"/>
      <c r="P327" s="210"/>
      <c r="Q327" s="210"/>
      <c r="R327" s="210"/>
      <c r="S327" s="214"/>
    </row>
    <row r="328" spans="1:19">
      <c r="A328" s="213" t="s">
        <v>660</v>
      </c>
      <c r="B328" s="206"/>
      <c r="C328" s="213" t="s">
        <v>646</v>
      </c>
      <c r="D328" s="232" t="s">
        <v>653</v>
      </c>
      <c r="E328" s="22" t="s">
        <v>20</v>
      </c>
      <c r="F328" s="262" t="s">
        <v>661</v>
      </c>
      <c r="G328" s="32" t="s">
        <v>613</v>
      </c>
      <c r="H328" s="26"/>
      <c r="I328" s="26"/>
      <c r="J328" s="26"/>
      <c r="K328" s="22"/>
      <c r="L328" s="22"/>
      <c r="M328" s="22"/>
      <c r="N328" s="22"/>
      <c r="O328" s="22"/>
      <c r="P328" s="35"/>
      <c r="Q328" s="22"/>
      <c r="R328" s="22"/>
      <c r="S328" s="22" t="s">
        <v>209</v>
      </c>
    </row>
    <row r="329" spans="1:19" ht="48">
      <c r="A329" s="213"/>
      <c r="B329" s="208"/>
      <c r="C329" s="213"/>
      <c r="D329" s="232"/>
      <c r="E329" s="22" t="s">
        <v>109</v>
      </c>
      <c r="F329" s="262"/>
      <c r="G329" s="32" t="s">
        <v>662</v>
      </c>
      <c r="H329" s="26" t="s">
        <v>663</v>
      </c>
      <c r="I329" s="26"/>
      <c r="J329" s="26"/>
      <c r="K329" s="22"/>
      <c r="L329" s="22"/>
      <c r="M329" s="22"/>
      <c r="N329" s="22"/>
      <c r="O329" s="22"/>
      <c r="P329" s="150"/>
      <c r="Q329" s="22"/>
      <c r="R329" s="22"/>
      <c r="S329" s="22" t="s">
        <v>209</v>
      </c>
    </row>
    <row r="330" spans="1:19">
      <c r="A330" s="215" t="s">
        <v>664</v>
      </c>
      <c r="B330" s="216"/>
      <c r="C330" s="216"/>
      <c r="D330" s="216"/>
      <c r="E330" s="216"/>
      <c r="F330" s="216"/>
      <c r="G330" s="216"/>
      <c r="H330" s="216"/>
      <c r="I330" s="216"/>
      <c r="J330" s="216"/>
      <c r="K330" s="216"/>
      <c r="L330" s="216"/>
      <c r="M330" s="216"/>
      <c r="N330" s="216"/>
      <c r="O330" s="216"/>
      <c r="P330" s="216"/>
      <c r="Q330" s="216"/>
      <c r="R330" s="216"/>
      <c r="S330" s="214"/>
    </row>
    <row r="331" spans="1:19" ht="32.1">
      <c r="A331" s="21" t="s">
        <v>665</v>
      </c>
      <c r="B331" s="21">
        <v>11.5</v>
      </c>
      <c r="C331" s="21" t="s">
        <v>666</v>
      </c>
      <c r="D331" s="172" t="s">
        <v>219</v>
      </c>
      <c r="E331" s="22" t="s">
        <v>20</v>
      </c>
      <c r="F331" s="49" t="s">
        <v>666</v>
      </c>
      <c r="G331" s="25" t="s">
        <v>667</v>
      </c>
      <c r="H331" s="26" t="s">
        <v>668</v>
      </c>
      <c r="I331" s="26"/>
      <c r="J331" s="26"/>
      <c r="K331" s="22"/>
      <c r="L331" s="22"/>
      <c r="M331" s="22"/>
      <c r="N331" s="22"/>
      <c r="O331" s="22"/>
      <c r="P331" s="35"/>
      <c r="Q331" s="22"/>
      <c r="R331" s="22"/>
      <c r="S331" s="53" t="s">
        <v>164</v>
      </c>
    </row>
    <row r="332" spans="1:19">
      <c r="A332" s="215" t="s">
        <v>98</v>
      </c>
      <c r="B332" s="216"/>
      <c r="C332" s="216"/>
      <c r="D332" s="216"/>
      <c r="E332" s="216"/>
      <c r="F332" s="216"/>
      <c r="G332" s="216"/>
      <c r="H332" s="216"/>
      <c r="I332" s="216"/>
      <c r="J332" s="216"/>
      <c r="K332" s="216"/>
      <c r="L332" s="216"/>
      <c r="M332" s="216"/>
      <c r="N332" s="216"/>
      <c r="O332" s="216"/>
      <c r="P332" s="216"/>
      <c r="Q332" s="216"/>
      <c r="R332" s="216"/>
      <c r="S332" s="214"/>
    </row>
    <row r="333" spans="1:19">
      <c r="A333" s="209" t="s">
        <v>669</v>
      </c>
      <c r="B333" s="210"/>
      <c r="C333" s="210"/>
      <c r="D333" s="210"/>
      <c r="E333" s="210"/>
      <c r="F333" s="210"/>
      <c r="G333" s="210"/>
      <c r="H333" s="210"/>
      <c r="I333" s="210"/>
      <c r="J333" s="210"/>
      <c r="K333" s="210"/>
      <c r="L333" s="210"/>
      <c r="M333" s="210"/>
      <c r="N333" s="210"/>
      <c r="O333" s="210"/>
      <c r="P333" s="210"/>
      <c r="Q333" s="210"/>
      <c r="R333" s="210"/>
      <c r="S333" s="214"/>
    </row>
    <row r="334" spans="1:19">
      <c r="A334" s="206" t="s">
        <v>670</v>
      </c>
      <c r="B334" s="206">
        <v>9</v>
      </c>
      <c r="C334" s="206" t="s">
        <v>671</v>
      </c>
      <c r="D334" s="227" t="s">
        <v>672</v>
      </c>
      <c r="E334" s="22" t="s">
        <v>20</v>
      </c>
      <c r="F334" s="259" t="s">
        <v>671</v>
      </c>
      <c r="G334" s="25" t="s">
        <v>485</v>
      </c>
      <c r="H334" s="26"/>
      <c r="I334" s="26"/>
      <c r="J334" s="26"/>
      <c r="K334" s="22"/>
      <c r="L334" s="22"/>
      <c r="M334" s="22"/>
      <c r="N334" s="22"/>
      <c r="O334" s="22"/>
      <c r="P334" s="35"/>
      <c r="Q334" s="22"/>
      <c r="R334" s="22"/>
      <c r="S334" s="22" t="s">
        <v>209</v>
      </c>
    </row>
    <row r="335" spans="1:19" ht="63.95">
      <c r="A335" s="207"/>
      <c r="B335" s="207"/>
      <c r="C335" s="207"/>
      <c r="D335" s="228"/>
      <c r="E335" s="22" t="s">
        <v>109</v>
      </c>
      <c r="F335" s="260"/>
      <c r="G335" s="26" t="s">
        <v>673</v>
      </c>
      <c r="H335" s="26" t="s">
        <v>674</v>
      </c>
      <c r="I335" s="26"/>
      <c r="J335" s="26"/>
      <c r="K335" s="22"/>
      <c r="L335" s="22"/>
      <c r="M335" s="22"/>
      <c r="N335" s="22"/>
      <c r="P335" s="160"/>
      <c r="Q335" s="22"/>
      <c r="R335" s="22"/>
      <c r="S335" s="22" t="s">
        <v>209</v>
      </c>
    </row>
    <row r="336" spans="1:19" ht="111.95">
      <c r="A336" s="208"/>
      <c r="B336" s="208"/>
      <c r="C336" s="208"/>
      <c r="D336" s="229"/>
      <c r="E336" s="22" t="s">
        <v>167</v>
      </c>
      <c r="F336" s="261"/>
      <c r="G336" s="28" t="s">
        <v>675</v>
      </c>
      <c r="H336" s="26" t="s">
        <v>676</v>
      </c>
      <c r="I336" s="26"/>
      <c r="J336" s="26"/>
      <c r="K336" s="22"/>
      <c r="L336" s="22"/>
      <c r="M336" s="22"/>
      <c r="N336" s="22"/>
      <c r="O336" s="22"/>
      <c r="P336" s="150"/>
      <c r="Q336" s="22"/>
      <c r="R336" s="22"/>
      <c r="S336" s="22" t="s">
        <v>209</v>
      </c>
    </row>
    <row r="337" spans="1:19">
      <c r="A337" s="215" t="s">
        <v>677</v>
      </c>
      <c r="B337" s="216"/>
      <c r="C337" s="216"/>
      <c r="D337" s="216"/>
      <c r="E337" s="216"/>
      <c r="F337" s="216"/>
      <c r="G337" s="216"/>
      <c r="H337" s="216"/>
      <c r="I337" s="216"/>
      <c r="J337" s="216"/>
      <c r="K337" s="216"/>
      <c r="L337" s="216"/>
      <c r="M337" s="216"/>
      <c r="N337" s="216"/>
      <c r="O337" s="216"/>
      <c r="P337" s="216"/>
      <c r="Q337" s="216"/>
      <c r="R337" s="216"/>
      <c r="S337" s="277"/>
    </row>
    <row r="338" spans="1:19">
      <c r="A338" s="209" t="s">
        <v>678</v>
      </c>
      <c r="B338" s="210"/>
      <c r="C338" s="210"/>
      <c r="D338" s="210"/>
      <c r="E338" s="210"/>
      <c r="F338" s="210"/>
      <c r="G338" s="210"/>
      <c r="H338" s="210"/>
      <c r="I338" s="210"/>
      <c r="J338" s="210"/>
      <c r="K338" s="210"/>
      <c r="L338" s="210"/>
      <c r="M338" s="210"/>
      <c r="N338" s="210"/>
      <c r="O338" s="210"/>
      <c r="P338" s="210"/>
      <c r="Q338" s="210"/>
      <c r="R338" s="210"/>
      <c r="S338" s="214"/>
    </row>
    <row r="339" spans="1:19">
      <c r="A339" s="256" t="s">
        <v>679</v>
      </c>
      <c r="B339" s="206">
        <v>5.2</v>
      </c>
      <c r="C339" s="206" t="s">
        <v>680</v>
      </c>
      <c r="D339" s="35" t="s">
        <v>681</v>
      </c>
      <c r="E339" s="22" t="s">
        <v>20</v>
      </c>
      <c r="F339" s="234" t="s">
        <v>680</v>
      </c>
      <c r="G339" s="26" t="s">
        <v>598</v>
      </c>
      <c r="H339" s="26"/>
      <c r="I339" s="26"/>
      <c r="J339" s="26"/>
      <c r="K339" s="54"/>
      <c r="L339" s="54"/>
      <c r="M339" s="54"/>
      <c r="N339" s="54"/>
      <c r="O339" s="54"/>
      <c r="P339" s="26"/>
      <c r="Q339" s="54"/>
      <c r="R339" s="54"/>
      <c r="S339" s="22" t="s">
        <v>164</v>
      </c>
    </row>
    <row r="340" spans="1:19" ht="63.95">
      <c r="A340" s="257"/>
      <c r="B340" s="207"/>
      <c r="C340" s="207"/>
      <c r="D340" s="35" t="s">
        <v>681</v>
      </c>
      <c r="E340" s="22" t="s">
        <v>109</v>
      </c>
      <c r="F340" s="242"/>
      <c r="G340" s="26" t="s">
        <v>682</v>
      </c>
      <c r="H340" s="26" t="s">
        <v>683</v>
      </c>
      <c r="I340" s="26"/>
      <c r="J340" s="26"/>
      <c r="K340" s="54"/>
      <c r="L340" s="54"/>
      <c r="M340" s="54"/>
      <c r="N340" s="54"/>
      <c r="O340" s="54"/>
      <c r="P340" s="159"/>
      <c r="Q340" s="54"/>
      <c r="R340" s="54"/>
      <c r="S340" s="22" t="s">
        <v>164</v>
      </c>
    </row>
    <row r="341" spans="1:19">
      <c r="A341" s="257"/>
      <c r="B341" s="207"/>
      <c r="C341" s="207"/>
      <c r="D341" s="35" t="s">
        <v>681</v>
      </c>
      <c r="E341" s="22" t="s">
        <v>167</v>
      </c>
      <c r="F341" s="242"/>
      <c r="G341" s="26" t="s">
        <v>685</v>
      </c>
      <c r="H341" s="26" t="s">
        <v>686</v>
      </c>
      <c r="I341" s="26"/>
      <c r="J341" s="26"/>
      <c r="K341" s="54"/>
      <c r="L341" s="54"/>
      <c r="M341" s="54"/>
      <c r="N341" s="54"/>
      <c r="O341" s="54"/>
      <c r="P341" s="26"/>
      <c r="Q341" s="54"/>
      <c r="R341" s="54"/>
      <c r="S341" s="22" t="s">
        <v>164</v>
      </c>
    </row>
    <row r="342" spans="1:19" ht="32.1">
      <c r="A342" s="257"/>
      <c r="B342" s="207"/>
      <c r="C342" s="207"/>
      <c r="D342" s="35" t="s">
        <v>681</v>
      </c>
      <c r="E342" s="22" t="s">
        <v>170</v>
      </c>
      <c r="F342" s="235"/>
      <c r="G342" s="26" t="s">
        <v>688</v>
      </c>
      <c r="H342" s="26" t="s">
        <v>689</v>
      </c>
      <c r="I342" s="26"/>
      <c r="J342" s="26"/>
      <c r="K342" s="54"/>
      <c r="L342" s="54"/>
      <c r="M342" s="54"/>
      <c r="N342" s="54"/>
      <c r="O342" s="125"/>
      <c r="P342" s="161"/>
      <c r="Q342" s="54"/>
      <c r="R342" s="54"/>
      <c r="S342" s="22" t="s">
        <v>164</v>
      </c>
    </row>
    <row r="343" spans="1:19" ht="32.1">
      <c r="A343" s="207" t="s">
        <v>691</v>
      </c>
      <c r="B343" s="207"/>
      <c r="C343" s="207"/>
      <c r="D343" s="35" t="s">
        <v>692</v>
      </c>
      <c r="E343" s="22" t="s">
        <v>20</v>
      </c>
      <c r="F343" s="148" t="s">
        <v>693</v>
      </c>
      <c r="G343" s="26" t="s">
        <v>694</v>
      </c>
      <c r="H343" s="26" t="s">
        <v>695</v>
      </c>
      <c r="I343" s="26"/>
      <c r="J343" s="26"/>
      <c r="K343" s="54"/>
      <c r="L343" s="54"/>
      <c r="M343" s="54"/>
      <c r="N343" s="126"/>
      <c r="O343" s="126"/>
      <c r="P343" s="159"/>
      <c r="Q343" s="127"/>
      <c r="R343" s="54"/>
      <c r="S343" s="22" t="s">
        <v>164</v>
      </c>
    </row>
    <row r="344" spans="1:19" ht="32.1">
      <c r="A344" s="208"/>
      <c r="B344" s="208"/>
      <c r="C344" s="208"/>
      <c r="D344" s="35" t="s">
        <v>681</v>
      </c>
      <c r="E344" s="22" t="s">
        <v>109</v>
      </c>
      <c r="F344" s="149"/>
      <c r="G344" s="26" t="s">
        <v>697</v>
      </c>
      <c r="H344" s="26" t="s">
        <v>698</v>
      </c>
      <c r="I344" s="26"/>
      <c r="J344" s="26"/>
      <c r="K344" s="54"/>
      <c r="L344" s="54"/>
      <c r="M344" s="54"/>
      <c r="N344" s="54"/>
      <c r="O344" s="128"/>
      <c r="P344" s="162"/>
      <c r="Q344" s="54"/>
      <c r="R344" s="54"/>
      <c r="S344" s="22" t="s">
        <v>164</v>
      </c>
    </row>
    <row r="345" spans="1:19">
      <c r="A345" s="209" t="s">
        <v>699</v>
      </c>
      <c r="B345" s="210"/>
      <c r="C345" s="210"/>
      <c r="D345" s="210"/>
      <c r="E345" s="210"/>
      <c r="F345" s="210"/>
      <c r="G345" s="210"/>
      <c r="H345" s="210"/>
      <c r="I345" s="210"/>
      <c r="J345" s="210"/>
      <c r="K345" s="210"/>
      <c r="L345" s="210"/>
      <c r="M345" s="210"/>
      <c r="N345" s="210"/>
      <c r="O345" s="210"/>
      <c r="P345" s="210"/>
      <c r="Q345" s="210"/>
      <c r="R345" s="210"/>
      <c r="S345" s="211"/>
    </row>
    <row r="346" spans="1:19">
      <c r="A346" s="206" t="s">
        <v>700</v>
      </c>
      <c r="B346" s="206">
        <v>6.2</v>
      </c>
      <c r="C346" s="206" t="s">
        <v>701</v>
      </c>
      <c r="D346" s="227" t="s">
        <v>702</v>
      </c>
      <c r="E346" s="22" t="s">
        <v>20</v>
      </c>
      <c r="F346" s="148" t="s">
        <v>701</v>
      </c>
      <c r="G346" s="26" t="s">
        <v>485</v>
      </c>
      <c r="H346" s="26" t="s">
        <v>486</v>
      </c>
      <c r="I346" s="26"/>
      <c r="J346" s="26"/>
      <c r="K346" s="54"/>
      <c r="L346" s="54"/>
      <c r="M346" s="54"/>
      <c r="N346" s="54"/>
      <c r="O346" s="54"/>
      <c r="P346" s="26"/>
      <c r="Q346" s="54"/>
      <c r="R346" s="54"/>
      <c r="S346" s="22" t="s">
        <v>164</v>
      </c>
    </row>
    <row r="347" spans="1:19" ht="48">
      <c r="A347" s="208"/>
      <c r="B347" s="208"/>
      <c r="C347" s="208"/>
      <c r="D347" s="229"/>
      <c r="E347" s="22" t="s">
        <v>109</v>
      </c>
      <c r="F347" s="149"/>
      <c r="G347" s="26" t="s">
        <v>703</v>
      </c>
      <c r="H347" s="26" t="s">
        <v>704</v>
      </c>
      <c r="I347" s="26"/>
      <c r="J347" s="26"/>
      <c r="K347" s="54"/>
      <c r="L347" s="54"/>
      <c r="M347" s="54"/>
      <c r="N347" s="54"/>
      <c r="O347" s="54"/>
      <c r="P347" s="159"/>
      <c r="Q347" s="54"/>
      <c r="R347" s="54"/>
      <c r="S347" s="22" t="s">
        <v>164</v>
      </c>
    </row>
    <row r="348" spans="1:19">
      <c r="A348" s="209" t="s">
        <v>705</v>
      </c>
      <c r="B348" s="210"/>
      <c r="C348" s="210"/>
      <c r="D348" s="210"/>
      <c r="E348" s="210"/>
      <c r="F348" s="210"/>
      <c r="G348" s="210"/>
      <c r="H348" s="210"/>
      <c r="I348" s="210"/>
      <c r="J348" s="210"/>
      <c r="K348" s="210"/>
      <c r="L348" s="210"/>
      <c r="M348" s="210"/>
      <c r="N348" s="210"/>
      <c r="O348" s="210"/>
      <c r="P348" s="210"/>
      <c r="Q348" s="210"/>
      <c r="R348" s="210"/>
      <c r="S348" s="214"/>
    </row>
    <row r="349" spans="1:19">
      <c r="A349" s="206" t="s">
        <v>706</v>
      </c>
      <c r="B349" s="206">
        <v>8.5</v>
      </c>
      <c r="C349" s="206" t="s">
        <v>707</v>
      </c>
      <c r="D349" s="227" t="s">
        <v>681</v>
      </c>
      <c r="E349" s="22" t="s">
        <v>20</v>
      </c>
      <c r="F349" s="234" t="s">
        <v>707</v>
      </c>
      <c r="G349" s="25" t="s">
        <v>708</v>
      </c>
      <c r="H349" s="26"/>
      <c r="I349" s="26"/>
      <c r="J349" s="26"/>
      <c r="K349" s="22"/>
      <c r="L349" s="22"/>
      <c r="M349" s="22"/>
      <c r="N349" s="22"/>
      <c r="O349" s="22"/>
      <c r="P349" s="35"/>
      <c r="Q349" s="22"/>
      <c r="R349" s="22"/>
      <c r="S349" s="22" t="s">
        <v>164</v>
      </c>
    </row>
    <row r="350" spans="1:19" ht="96">
      <c r="A350" s="207"/>
      <c r="B350" s="207"/>
      <c r="C350" s="207"/>
      <c r="D350" s="229"/>
      <c r="E350" s="22" t="s">
        <v>109</v>
      </c>
      <c r="F350" s="235"/>
      <c r="G350" s="34" t="s">
        <v>504</v>
      </c>
      <c r="H350" s="26" t="s">
        <v>709</v>
      </c>
      <c r="I350" s="26"/>
      <c r="J350" s="26"/>
      <c r="K350" s="22"/>
      <c r="L350" s="22"/>
      <c r="M350" s="22"/>
      <c r="N350" s="22"/>
      <c r="O350" s="22"/>
      <c r="P350" s="150"/>
      <c r="Q350" s="22"/>
      <c r="R350" s="22"/>
      <c r="S350" s="22" t="s">
        <v>164</v>
      </c>
    </row>
    <row r="351" spans="1:19" ht="32.1">
      <c r="A351" s="207"/>
      <c r="B351" s="207"/>
      <c r="C351" s="207"/>
      <c r="D351" s="35" t="s">
        <v>710</v>
      </c>
      <c r="E351" s="22" t="s">
        <v>170</v>
      </c>
      <c r="F351" s="234" t="s">
        <v>711</v>
      </c>
      <c r="G351" s="34" t="s">
        <v>512</v>
      </c>
      <c r="H351" s="26" t="s">
        <v>513</v>
      </c>
      <c r="I351" s="26"/>
      <c r="J351" s="26"/>
      <c r="K351" s="35"/>
      <c r="L351" s="35"/>
      <c r="M351" s="22"/>
      <c r="N351" s="22"/>
      <c r="O351" s="22"/>
      <c r="P351" s="150"/>
      <c r="Q351" s="163"/>
      <c r="R351" s="50"/>
      <c r="S351" s="22" t="s">
        <v>164</v>
      </c>
    </row>
    <row r="352" spans="1:19" ht="48">
      <c r="A352" s="207"/>
      <c r="B352" s="207"/>
      <c r="C352" s="207"/>
      <c r="D352" s="35" t="s">
        <v>692</v>
      </c>
      <c r="E352" s="22" t="s">
        <v>173</v>
      </c>
      <c r="F352" s="242"/>
      <c r="G352" s="34" t="s">
        <v>514</v>
      </c>
      <c r="H352" s="26" t="s">
        <v>513</v>
      </c>
      <c r="I352" s="26"/>
      <c r="J352" s="26"/>
      <c r="K352" s="22"/>
      <c r="L352" s="22"/>
      <c r="M352" s="22"/>
      <c r="N352" s="22"/>
      <c r="O352" s="22"/>
      <c r="P352" s="150"/>
      <c r="Q352" s="22"/>
      <c r="R352" s="22"/>
      <c r="S352" s="22" t="s">
        <v>164</v>
      </c>
    </row>
    <row r="353" spans="1:20" ht="32.1">
      <c r="A353" s="207"/>
      <c r="B353" s="207"/>
      <c r="C353" s="207"/>
      <c r="D353" s="35" t="s">
        <v>692</v>
      </c>
      <c r="E353" s="22" t="s">
        <v>176</v>
      </c>
      <c r="F353" s="242"/>
      <c r="G353" s="34" t="s">
        <v>515</v>
      </c>
      <c r="H353" s="26" t="s">
        <v>712</v>
      </c>
      <c r="I353" s="26"/>
      <c r="J353" s="26"/>
      <c r="K353" s="22"/>
      <c r="L353" s="22"/>
      <c r="M353" s="22"/>
      <c r="N353" s="22"/>
      <c r="O353" s="22"/>
      <c r="P353" s="150"/>
      <c r="Q353" s="22"/>
      <c r="R353" s="22"/>
      <c r="S353" s="22" t="s">
        <v>164</v>
      </c>
    </row>
    <row r="354" spans="1:20" ht="48">
      <c r="A354" s="208"/>
      <c r="B354" s="208"/>
      <c r="C354" s="208"/>
      <c r="D354" s="35" t="s">
        <v>608</v>
      </c>
      <c r="E354" s="22" t="s">
        <v>181</v>
      </c>
      <c r="F354" s="235"/>
      <c r="G354" s="34" t="s">
        <v>517</v>
      </c>
      <c r="H354" s="26" t="s">
        <v>518</v>
      </c>
      <c r="I354" s="26"/>
      <c r="J354" s="26"/>
      <c r="K354" s="22"/>
      <c r="L354" s="22"/>
      <c r="M354" s="22"/>
      <c r="N354" s="22"/>
      <c r="O354" s="22"/>
      <c r="P354" s="150"/>
      <c r="Q354" s="22"/>
      <c r="R354" s="22"/>
      <c r="S354" s="22" t="s">
        <v>164</v>
      </c>
    </row>
    <row r="355" spans="1:20">
      <c r="A355" s="209" t="s">
        <v>713</v>
      </c>
      <c r="B355" s="210"/>
      <c r="C355" s="210"/>
      <c r="D355" s="210"/>
      <c r="E355" s="210"/>
      <c r="F355" s="210"/>
      <c r="G355" s="210"/>
      <c r="H355" s="210"/>
      <c r="I355" s="210"/>
      <c r="J355" s="210"/>
      <c r="K355" s="210"/>
      <c r="L355" s="210"/>
      <c r="M355" s="210"/>
      <c r="N355" s="210"/>
      <c r="O355" s="210"/>
      <c r="P355" s="210"/>
      <c r="Q355" s="210"/>
      <c r="R355" s="210"/>
      <c r="S355" s="214"/>
    </row>
    <row r="356" spans="1:20">
      <c r="A356" s="271" t="s">
        <v>714</v>
      </c>
      <c r="B356" s="272"/>
      <c r="C356" s="272"/>
      <c r="D356" s="272"/>
      <c r="E356" s="272"/>
      <c r="F356" s="272"/>
      <c r="G356" s="272"/>
      <c r="H356" s="272"/>
      <c r="I356" s="272"/>
      <c r="J356" s="272"/>
      <c r="K356" s="272"/>
      <c r="L356" s="272"/>
      <c r="M356" s="272"/>
      <c r="N356" s="272"/>
      <c r="O356" s="272"/>
      <c r="P356" s="272"/>
      <c r="Q356" s="272"/>
      <c r="R356" s="272"/>
      <c r="S356" s="214"/>
    </row>
    <row r="357" spans="1:20">
      <c r="A357" s="206" t="s">
        <v>715</v>
      </c>
      <c r="B357" s="206"/>
      <c r="C357" s="206" t="s">
        <v>716</v>
      </c>
      <c r="D357" s="227" t="s">
        <v>681</v>
      </c>
      <c r="E357" s="22" t="s">
        <v>20</v>
      </c>
      <c r="F357" s="234" t="s">
        <v>671</v>
      </c>
      <c r="G357" s="32" t="s">
        <v>613</v>
      </c>
      <c r="H357" s="26"/>
      <c r="I357" s="26"/>
      <c r="J357" s="26"/>
      <c r="K357" s="22"/>
      <c r="L357" s="22"/>
      <c r="M357" s="22"/>
      <c r="N357" s="22"/>
      <c r="O357" s="22"/>
      <c r="P357" s="150"/>
      <c r="Q357" s="22"/>
      <c r="R357" s="22"/>
      <c r="S357" s="22" t="s">
        <v>209</v>
      </c>
    </row>
    <row r="358" spans="1:20" ht="63.95">
      <c r="A358" s="207"/>
      <c r="B358" s="207"/>
      <c r="C358" s="207"/>
      <c r="D358" s="228"/>
      <c r="E358" s="22" t="s">
        <v>109</v>
      </c>
      <c r="F358" s="235"/>
      <c r="G358" s="33" t="s">
        <v>717</v>
      </c>
      <c r="H358" s="26" t="s">
        <v>718</v>
      </c>
      <c r="I358" s="26"/>
      <c r="J358" s="26"/>
      <c r="K358" s="22"/>
      <c r="L358" s="22"/>
      <c r="M358" s="22"/>
      <c r="N358" s="22"/>
      <c r="O358" s="22"/>
      <c r="P358" s="150"/>
      <c r="Q358" s="22"/>
      <c r="R358" s="22"/>
      <c r="S358" s="22" t="s">
        <v>209</v>
      </c>
    </row>
    <row r="359" spans="1:20">
      <c r="A359" s="207"/>
      <c r="B359" s="207"/>
      <c r="C359" s="207"/>
      <c r="D359" s="228"/>
      <c r="E359" s="22" t="s">
        <v>167</v>
      </c>
      <c r="F359" s="234" t="s">
        <v>719</v>
      </c>
      <c r="G359" s="33" t="s">
        <v>613</v>
      </c>
      <c r="H359" s="26"/>
      <c r="I359" s="26"/>
      <c r="J359" s="26"/>
      <c r="K359" s="22"/>
      <c r="L359" s="22"/>
      <c r="M359" s="22"/>
      <c r="N359" s="22"/>
      <c r="O359" s="22"/>
      <c r="P359" s="35"/>
      <c r="Q359" s="22"/>
      <c r="R359" s="22"/>
      <c r="S359" s="22" t="s">
        <v>209</v>
      </c>
    </row>
    <row r="360" spans="1:20" ht="48">
      <c r="A360" s="207"/>
      <c r="B360" s="207"/>
      <c r="C360" s="207"/>
      <c r="D360" s="229"/>
      <c r="E360" s="22" t="s">
        <v>170</v>
      </c>
      <c r="F360" s="235"/>
      <c r="G360" s="33" t="s">
        <v>720</v>
      </c>
      <c r="H360" s="26" t="s">
        <v>721</v>
      </c>
      <c r="I360" s="26"/>
      <c r="J360" s="26"/>
      <c r="K360" s="22"/>
      <c r="L360" s="22"/>
      <c r="M360" s="22"/>
      <c r="N360" s="22"/>
      <c r="O360" s="22"/>
      <c r="P360" s="150"/>
      <c r="Q360" s="22"/>
      <c r="R360" s="22"/>
      <c r="S360" s="22" t="s">
        <v>209</v>
      </c>
    </row>
    <row r="361" spans="1:20">
      <c r="A361" s="207"/>
      <c r="B361" s="207"/>
      <c r="C361" s="207"/>
      <c r="D361" s="227" t="s">
        <v>722</v>
      </c>
      <c r="E361" s="22" t="s">
        <v>173</v>
      </c>
      <c r="F361" s="234" t="s">
        <v>723</v>
      </c>
      <c r="G361" s="33" t="s">
        <v>613</v>
      </c>
      <c r="H361" s="26"/>
      <c r="I361" s="26"/>
      <c r="J361" s="26"/>
      <c r="K361" s="22"/>
      <c r="L361" s="22"/>
      <c r="M361" s="22"/>
      <c r="N361" s="22"/>
      <c r="O361" s="22"/>
      <c r="P361" s="35"/>
      <c r="Q361" s="22"/>
      <c r="R361" s="22"/>
      <c r="S361" s="22" t="s">
        <v>209</v>
      </c>
    </row>
    <row r="362" spans="1:20" ht="48">
      <c r="A362" s="207"/>
      <c r="B362" s="207"/>
      <c r="C362" s="207"/>
      <c r="D362" s="228"/>
      <c r="E362" s="22" t="s">
        <v>176</v>
      </c>
      <c r="F362" s="242"/>
      <c r="G362" s="33" t="s">
        <v>724</v>
      </c>
      <c r="H362" s="26" t="s">
        <v>725</v>
      </c>
      <c r="I362" s="26"/>
      <c r="J362" s="26"/>
      <c r="K362" s="22"/>
      <c r="L362" s="22"/>
      <c r="M362" s="22"/>
      <c r="N362" s="22"/>
      <c r="O362" s="22"/>
      <c r="P362" s="150"/>
      <c r="Q362" s="22"/>
      <c r="R362" s="22"/>
      <c r="S362" s="22" t="s">
        <v>209</v>
      </c>
    </row>
    <row r="363" spans="1:20" ht="63.95">
      <c r="A363" s="208"/>
      <c r="B363" s="208"/>
      <c r="C363" s="208"/>
      <c r="D363" s="229"/>
      <c r="E363" s="22" t="s">
        <v>181</v>
      </c>
      <c r="F363" s="235"/>
      <c r="G363" s="25" t="s">
        <v>726</v>
      </c>
      <c r="H363" s="26" t="s">
        <v>727</v>
      </c>
      <c r="I363" s="26"/>
      <c r="J363" s="26"/>
      <c r="K363" s="22"/>
      <c r="L363" s="22"/>
      <c r="M363" s="22"/>
      <c r="N363" s="22"/>
      <c r="O363" s="22"/>
      <c r="P363" s="35"/>
      <c r="Q363" s="22"/>
      <c r="R363" s="22"/>
      <c r="S363" s="22" t="s">
        <v>209</v>
      </c>
    </row>
    <row r="364" spans="1:20">
      <c r="A364" s="271" t="s">
        <v>714</v>
      </c>
      <c r="B364" s="272"/>
      <c r="C364" s="272"/>
      <c r="D364" s="272"/>
      <c r="E364" s="272"/>
      <c r="F364" s="272"/>
      <c r="G364" s="272"/>
      <c r="H364" s="272"/>
      <c r="I364" s="272"/>
      <c r="J364" s="272"/>
      <c r="K364" s="272"/>
      <c r="L364" s="272"/>
      <c r="M364" s="272"/>
      <c r="N364" s="272"/>
      <c r="O364" s="272"/>
      <c r="P364" s="272"/>
      <c r="Q364" s="272"/>
      <c r="R364" s="272"/>
      <c r="S364" s="214"/>
    </row>
    <row r="365" spans="1:20">
      <c r="A365" s="206" t="s">
        <v>728</v>
      </c>
      <c r="B365" s="206"/>
      <c r="C365" s="206" t="s">
        <v>716</v>
      </c>
      <c r="D365" s="227" t="s">
        <v>681</v>
      </c>
      <c r="E365" s="22" t="s">
        <v>20</v>
      </c>
      <c r="F365" s="234" t="s">
        <v>729</v>
      </c>
      <c r="G365" s="25" t="s">
        <v>613</v>
      </c>
      <c r="H365" s="26"/>
      <c r="I365" s="26"/>
      <c r="J365" s="26"/>
      <c r="K365" s="22"/>
      <c r="L365" s="22"/>
      <c r="M365" s="22"/>
      <c r="N365" s="22"/>
      <c r="O365" s="22"/>
      <c r="P365" s="150"/>
      <c r="Q365" s="22"/>
      <c r="R365" s="22"/>
      <c r="S365" s="22" t="s">
        <v>209</v>
      </c>
    </row>
    <row r="366" spans="1:20" ht="63.95">
      <c r="A366" s="207"/>
      <c r="B366" s="207"/>
      <c r="C366" s="207"/>
      <c r="D366" s="228"/>
      <c r="E366" s="22" t="s">
        <v>109</v>
      </c>
      <c r="F366" s="242"/>
      <c r="G366" s="28" t="s">
        <v>673</v>
      </c>
      <c r="H366" s="26" t="s">
        <v>674</v>
      </c>
      <c r="I366" s="26"/>
      <c r="J366" s="26"/>
      <c r="K366" s="22"/>
      <c r="L366" s="22"/>
      <c r="M366" s="22"/>
      <c r="N366" s="22"/>
      <c r="O366" s="22"/>
      <c r="P366" s="150"/>
      <c r="Q366" s="22"/>
      <c r="R366" s="22"/>
      <c r="S366" s="22" t="s">
        <v>209</v>
      </c>
    </row>
    <row r="367" spans="1:20" ht="32.1">
      <c r="A367" s="208"/>
      <c r="B367" s="208"/>
      <c r="C367" s="208"/>
      <c r="D367" s="229"/>
      <c r="E367" s="22" t="s">
        <v>167</v>
      </c>
      <c r="F367" s="235"/>
      <c r="G367" s="28" t="s">
        <v>730</v>
      </c>
      <c r="H367" s="26" t="s">
        <v>731</v>
      </c>
      <c r="I367" s="26"/>
      <c r="J367" s="26"/>
      <c r="K367" s="22"/>
      <c r="L367" s="22"/>
      <c r="M367" s="22"/>
      <c r="N367" s="22"/>
      <c r="O367" s="22"/>
      <c r="P367" s="150"/>
      <c r="Q367" s="22"/>
      <c r="R367" s="22"/>
      <c r="S367" s="22" t="s">
        <v>209</v>
      </c>
    </row>
    <row r="368" spans="1:20">
      <c r="A368" s="215" t="s">
        <v>732</v>
      </c>
      <c r="B368" s="216"/>
      <c r="C368" s="216"/>
      <c r="D368" s="216"/>
      <c r="E368" s="216"/>
      <c r="F368" s="216"/>
      <c r="G368" s="216"/>
      <c r="H368" s="216"/>
      <c r="I368" s="216"/>
      <c r="J368" s="216"/>
      <c r="K368" s="216"/>
      <c r="L368" s="216"/>
      <c r="M368" s="216"/>
      <c r="N368" s="216"/>
      <c r="O368" s="216"/>
      <c r="P368" s="216"/>
      <c r="Q368" s="216"/>
      <c r="R368" s="216"/>
      <c r="S368" s="277"/>
      <c r="T368" s="81"/>
    </row>
    <row r="369" spans="1:19" ht="32.1">
      <c r="A369" s="206" t="s">
        <v>733</v>
      </c>
      <c r="B369" s="206"/>
      <c r="C369" s="206" t="s">
        <v>734</v>
      </c>
      <c r="D369" s="35"/>
      <c r="E369" s="22" t="s">
        <v>20</v>
      </c>
      <c r="F369" s="21"/>
      <c r="G369" s="44" t="s">
        <v>735</v>
      </c>
      <c r="H369" s="27"/>
      <c r="I369" s="27"/>
      <c r="J369" s="27"/>
      <c r="K369" s="22"/>
      <c r="L369" s="22"/>
      <c r="M369" s="22"/>
      <c r="N369" s="22"/>
      <c r="O369" s="22"/>
      <c r="P369" s="35"/>
      <c r="Q369" s="22"/>
      <c r="R369" s="22" t="s">
        <v>125</v>
      </c>
      <c r="S369" s="53" t="s">
        <v>209</v>
      </c>
    </row>
    <row r="370" spans="1:19">
      <c r="A370" s="207"/>
      <c r="B370" s="207"/>
      <c r="C370" s="207"/>
      <c r="D370" s="35"/>
      <c r="E370" s="22" t="s">
        <v>109</v>
      </c>
      <c r="F370" s="21"/>
      <c r="G370" s="44" t="s">
        <v>736</v>
      </c>
      <c r="H370" s="27"/>
      <c r="I370" s="27"/>
      <c r="J370" s="27"/>
      <c r="K370" s="22"/>
      <c r="L370" s="22"/>
      <c r="M370" s="22"/>
      <c r="N370" s="22"/>
      <c r="O370" s="22"/>
      <c r="P370" s="35"/>
      <c r="Q370" s="22"/>
      <c r="R370" s="22" t="s">
        <v>125</v>
      </c>
      <c r="S370" s="53" t="s">
        <v>209</v>
      </c>
    </row>
    <row r="371" spans="1:19">
      <c r="A371" s="207"/>
      <c r="B371" s="207"/>
      <c r="C371" s="207"/>
      <c r="D371" s="35"/>
      <c r="E371" s="22" t="s">
        <v>167</v>
      </c>
      <c r="F371" s="21"/>
      <c r="G371" s="44" t="s">
        <v>737</v>
      </c>
      <c r="H371" s="27"/>
      <c r="I371" s="27"/>
      <c r="J371" s="27"/>
      <c r="K371" s="22"/>
      <c r="L371" s="22"/>
      <c r="M371" s="22"/>
      <c r="N371" s="22"/>
      <c r="O371" s="22"/>
      <c r="P371" s="35"/>
      <c r="Q371" s="22"/>
      <c r="R371" s="22" t="s">
        <v>125</v>
      </c>
      <c r="S371" s="53" t="s">
        <v>209</v>
      </c>
    </row>
    <row r="372" spans="1:19">
      <c r="A372" s="207"/>
      <c r="B372" s="207"/>
      <c r="C372" s="207"/>
      <c r="D372" s="35"/>
      <c r="E372" s="22" t="s">
        <v>170</v>
      </c>
      <c r="F372" s="21"/>
      <c r="G372" s="27" t="s">
        <v>738</v>
      </c>
      <c r="H372" s="27"/>
      <c r="I372" s="27"/>
      <c r="J372" s="27"/>
      <c r="K372" s="22"/>
      <c r="L372" s="22"/>
      <c r="M372" s="22"/>
      <c r="N372" s="22"/>
      <c r="O372" s="22"/>
      <c r="P372" s="35"/>
      <c r="Q372" s="22"/>
      <c r="R372" s="22" t="s">
        <v>125</v>
      </c>
      <c r="S372" s="53" t="s">
        <v>209</v>
      </c>
    </row>
    <row r="373" spans="1:19">
      <c r="A373" s="207"/>
      <c r="B373" s="207"/>
      <c r="C373" s="207"/>
      <c r="D373" s="35"/>
      <c r="E373" s="22" t="s">
        <v>173</v>
      </c>
      <c r="F373" s="21"/>
      <c r="G373" s="44" t="s">
        <v>739</v>
      </c>
      <c r="H373" s="26"/>
      <c r="I373" s="26"/>
      <c r="J373" s="26"/>
      <c r="K373" s="22"/>
      <c r="L373" s="22"/>
      <c r="M373" s="22"/>
      <c r="N373" s="22"/>
      <c r="O373" s="22"/>
      <c r="P373" s="35"/>
      <c r="Q373" s="22"/>
      <c r="R373" s="22" t="s">
        <v>125</v>
      </c>
      <c r="S373" s="53" t="s">
        <v>209</v>
      </c>
    </row>
    <row r="374" spans="1:19" ht="48">
      <c r="A374" s="207"/>
      <c r="B374" s="207"/>
      <c r="C374" s="207"/>
      <c r="D374" s="35"/>
      <c r="E374" s="22" t="s">
        <v>176</v>
      </c>
      <c r="F374" s="21"/>
      <c r="G374" s="26" t="s">
        <v>740</v>
      </c>
      <c r="H374" s="26"/>
      <c r="I374" s="26"/>
      <c r="J374" s="26"/>
      <c r="K374" s="22"/>
      <c r="L374" s="22"/>
      <c r="M374" s="22"/>
      <c r="N374" s="22"/>
      <c r="O374" s="22"/>
      <c r="P374" s="35"/>
      <c r="Q374" s="22"/>
      <c r="R374" s="22" t="s">
        <v>125</v>
      </c>
      <c r="S374" s="53" t="s">
        <v>209</v>
      </c>
    </row>
    <row r="375" spans="1:19">
      <c r="A375" s="207"/>
      <c r="B375" s="207"/>
      <c r="C375" s="207"/>
      <c r="D375" s="35"/>
      <c r="E375" s="22" t="s">
        <v>181</v>
      </c>
      <c r="F375" s="21"/>
      <c r="G375" s="26" t="s">
        <v>741</v>
      </c>
      <c r="H375" s="26"/>
      <c r="I375" s="26"/>
      <c r="J375" s="26"/>
      <c r="K375" s="22"/>
      <c r="L375" s="22"/>
      <c r="M375" s="22"/>
      <c r="N375" s="22"/>
      <c r="O375" s="22"/>
      <c r="P375" s="35"/>
      <c r="Q375" s="22"/>
      <c r="R375" s="22" t="s">
        <v>125</v>
      </c>
      <c r="S375" s="53" t="s">
        <v>209</v>
      </c>
    </row>
    <row r="376" spans="1:19" ht="32.1">
      <c r="A376" s="208"/>
      <c r="B376" s="208"/>
      <c r="C376" s="208"/>
      <c r="D376" s="35"/>
      <c r="E376" s="22" t="s">
        <v>188</v>
      </c>
      <c r="F376" s="21"/>
      <c r="G376" s="26" t="s">
        <v>742</v>
      </c>
      <c r="H376" s="26"/>
      <c r="I376" s="26"/>
      <c r="J376" s="26"/>
      <c r="K376" s="22"/>
      <c r="L376" s="22"/>
      <c r="M376" s="22"/>
      <c r="N376" s="22"/>
      <c r="O376" s="22"/>
      <c r="P376" s="35"/>
      <c r="Q376" s="22"/>
      <c r="R376" s="22" t="s">
        <v>125</v>
      </c>
      <c r="S376" s="53" t="s">
        <v>209</v>
      </c>
    </row>
    <row r="377" spans="1:19">
      <c r="A377" s="19"/>
      <c r="B377" s="19"/>
      <c r="C377" s="16"/>
      <c r="D377" s="36"/>
      <c r="E377" s="17"/>
      <c r="F377" s="18"/>
      <c r="H377" s="20"/>
      <c r="I377" s="20"/>
      <c r="J377" s="20"/>
      <c r="M377" s="17"/>
      <c r="P377" s="36"/>
      <c r="Q377" s="17"/>
      <c r="R377" s="17"/>
      <c r="S377" s="169"/>
    </row>
    <row r="378" spans="1:19">
      <c r="A378" s="19"/>
      <c r="B378" s="19"/>
      <c r="C378" s="16"/>
      <c r="D378" s="36"/>
      <c r="E378" s="17"/>
      <c r="F378" s="18"/>
      <c r="H378" s="20"/>
      <c r="I378" s="20"/>
      <c r="J378" s="20"/>
      <c r="M378" s="17"/>
      <c r="P378" s="36"/>
      <c r="Q378" s="17"/>
      <c r="R378" s="17"/>
      <c r="S378" s="169"/>
    </row>
    <row r="379" spans="1:19">
      <c r="A379" s="19"/>
      <c r="B379" s="19"/>
      <c r="C379" s="16"/>
      <c r="D379" s="36"/>
      <c r="E379" s="17"/>
      <c r="F379" s="18"/>
      <c r="H379" s="20"/>
      <c r="I379" s="20"/>
      <c r="J379" s="20"/>
      <c r="M379" s="17"/>
      <c r="P379" s="36"/>
      <c r="Q379" s="17"/>
      <c r="R379" s="17"/>
      <c r="S379" s="169"/>
    </row>
    <row r="380" spans="1:19">
      <c r="A380" s="19"/>
      <c r="B380" s="19"/>
      <c r="C380" s="16"/>
      <c r="D380" s="36"/>
      <c r="E380" s="17"/>
      <c r="F380" s="18"/>
      <c r="H380" s="20"/>
      <c r="I380" s="20"/>
      <c r="J380" s="20"/>
      <c r="M380" s="17"/>
      <c r="P380" s="36"/>
      <c r="Q380" s="17"/>
      <c r="R380" s="17"/>
      <c r="S380" s="169"/>
    </row>
    <row r="381" spans="1:19">
      <c r="A381" s="19"/>
      <c r="B381" s="19"/>
      <c r="C381" s="16"/>
      <c r="D381" s="36"/>
      <c r="E381" s="17"/>
      <c r="F381" s="18"/>
      <c r="H381" s="20"/>
      <c r="I381" s="20"/>
      <c r="J381" s="20"/>
      <c r="M381" s="17"/>
      <c r="P381" s="36"/>
      <c r="Q381" s="17"/>
      <c r="R381" s="17"/>
      <c r="S381" s="169"/>
    </row>
    <row r="382" spans="1:19">
      <c r="A382" s="19"/>
      <c r="B382" s="19"/>
      <c r="C382" s="16"/>
      <c r="D382" s="36"/>
      <c r="E382" s="17"/>
      <c r="F382" s="18"/>
      <c r="H382" s="20"/>
      <c r="I382" s="20"/>
      <c r="J382" s="20"/>
      <c r="M382" s="17"/>
      <c r="P382" s="36"/>
      <c r="Q382" s="17"/>
      <c r="R382" s="17"/>
      <c r="S382" s="169"/>
    </row>
    <row r="383" spans="1:19">
      <c r="A383" s="19"/>
      <c r="B383" s="19"/>
      <c r="C383" s="16"/>
      <c r="D383" s="36"/>
      <c r="E383" s="17"/>
      <c r="F383" s="18"/>
      <c r="H383" s="20"/>
      <c r="I383" s="20"/>
      <c r="J383" s="20"/>
      <c r="M383" s="17"/>
      <c r="P383" s="36"/>
      <c r="Q383" s="17"/>
      <c r="R383" s="17"/>
      <c r="S383" s="169"/>
    </row>
    <row r="384" spans="1:19">
      <c r="A384" s="19"/>
      <c r="B384" s="19"/>
      <c r="C384" s="16"/>
      <c r="D384" s="36"/>
      <c r="E384" s="17"/>
      <c r="F384" s="18"/>
      <c r="H384" s="20"/>
      <c r="I384" s="20"/>
      <c r="J384" s="20"/>
      <c r="M384" s="17"/>
      <c r="P384" s="36"/>
      <c r="Q384" s="17"/>
      <c r="R384" s="17"/>
      <c r="S384" s="169"/>
    </row>
    <row r="385" spans="1:19">
      <c r="A385" s="19"/>
      <c r="B385" s="19"/>
      <c r="C385" s="16"/>
      <c r="D385" s="36"/>
      <c r="E385" s="17"/>
      <c r="F385" s="18"/>
      <c r="H385" s="20"/>
      <c r="I385" s="20"/>
      <c r="J385" s="20"/>
      <c r="M385" s="17"/>
      <c r="P385" s="36"/>
      <c r="Q385" s="17"/>
      <c r="R385" s="17"/>
      <c r="S385" s="169"/>
    </row>
    <row r="386" spans="1:19">
      <c r="A386" s="19"/>
      <c r="B386" s="19"/>
      <c r="C386" s="16"/>
      <c r="D386" s="36"/>
      <c r="E386" s="17"/>
      <c r="F386" s="18"/>
      <c r="H386" s="20"/>
      <c r="I386" s="20"/>
      <c r="J386" s="20"/>
      <c r="M386" s="17"/>
      <c r="P386" s="36"/>
      <c r="Q386" s="17"/>
      <c r="R386" s="17"/>
      <c r="S386" s="169"/>
    </row>
    <row r="387" spans="1:19">
      <c r="A387" s="19"/>
      <c r="B387" s="19"/>
      <c r="C387" s="16"/>
      <c r="D387" s="36"/>
      <c r="E387" s="17"/>
      <c r="F387" s="18"/>
      <c r="H387" s="20"/>
      <c r="I387" s="20"/>
      <c r="J387" s="20"/>
      <c r="M387" s="17"/>
      <c r="P387" s="36"/>
      <c r="Q387" s="17"/>
      <c r="R387" s="17"/>
      <c r="S387" s="169"/>
    </row>
    <row r="388" spans="1:19">
      <c r="A388" s="19"/>
      <c r="B388" s="19"/>
      <c r="C388" s="16"/>
      <c r="D388" s="36"/>
      <c r="E388" s="17"/>
      <c r="F388" s="18"/>
      <c r="H388" s="20"/>
      <c r="I388" s="20"/>
      <c r="J388" s="20"/>
      <c r="M388" s="17"/>
      <c r="P388" s="36"/>
      <c r="Q388" s="17"/>
      <c r="R388" s="17"/>
      <c r="S388" s="169"/>
    </row>
    <row r="389" spans="1:19">
      <c r="A389" s="19"/>
      <c r="B389" s="19"/>
      <c r="C389" s="16"/>
      <c r="D389" s="36"/>
      <c r="E389" s="17"/>
      <c r="F389" s="18"/>
      <c r="H389" s="20"/>
      <c r="I389" s="20"/>
      <c r="J389" s="20"/>
      <c r="M389" s="17"/>
      <c r="P389" s="36"/>
      <c r="Q389" s="17"/>
      <c r="R389" s="17"/>
      <c r="S389" s="169"/>
    </row>
    <row r="390" spans="1:19">
      <c r="A390" s="19"/>
      <c r="B390" s="19"/>
      <c r="C390" s="16"/>
      <c r="D390" s="36"/>
      <c r="E390" s="17"/>
      <c r="F390" s="18"/>
      <c r="H390" s="20"/>
      <c r="I390" s="20"/>
      <c r="J390" s="20"/>
      <c r="M390" s="17"/>
      <c r="P390" s="36"/>
      <c r="Q390" s="17"/>
      <c r="R390" s="17"/>
      <c r="S390" s="169"/>
    </row>
    <row r="391" spans="1:19">
      <c r="A391" s="19"/>
      <c r="B391" s="19"/>
      <c r="C391" s="16"/>
      <c r="D391" s="36"/>
      <c r="E391" s="17"/>
      <c r="F391" s="18"/>
      <c r="H391" s="20"/>
      <c r="I391" s="20"/>
      <c r="J391" s="20"/>
      <c r="M391" s="17"/>
      <c r="P391" s="36"/>
      <c r="Q391" s="17"/>
      <c r="R391" s="17"/>
      <c r="S391" s="169"/>
    </row>
    <row r="392" spans="1:19">
      <c r="A392" s="19"/>
      <c r="B392" s="19"/>
      <c r="C392" s="16"/>
      <c r="D392" s="36"/>
      <c r="E392" s="17"/>
      <c r="F392" s="18"/>
      <c r="H392" s="20"/>
      <c r="I392" s="20"/>
      <c r="J392" s="20"/>
      <c r="M392" s="17"/>
      <c r="P392" s="36"/>
      <c r="Q392" s="17"/>
      <c r="R392" s="17"/>
      <c r="S392" s="169"/>
    </row>
    <row r="393" spans="1:19">
      <c r="A393" s="19"/>
      <c r="B393" s="19"/>
      <c r="C393" s="16"/>
      <c r="D393" s="36"/>
      <c r="E393" s="17"/>
      <c r="F393" s="18"/>
      <c r="H393" s="20"/>
      <c r="I393" s="20"/>
      <c r="J393" s="20"/>
      <c r="M393" s="17"/>
      <c r="P393" s="36"/>
      <c r="Q393" s="17"/>
      <c r="R393" s="17"/>
      <c r="S393" s="169"/>
    </row>
    <row r="394" spans="1:19">
      <c r="A394" s="19"/>
      <c r="B394" s="19"/>
      <c r="C394" s="16"/>
      <c r="D394" s="36"/>
      <c r="E394" s="17"/>
      <c r="F394" s="18"/>
      <c r="H394" s="20"/>
      <c r="I394" s="20"/>
      <c r="J394" s="20"/>
      <c r="M394" s="17"/>
      <c r="P394" s="36"/>
      <c r="Q394" s="17"/>
      <c r="R394" s="17"/>
      <c r="S394" s="169"/>
    </row>
    <row r="395" spans="1:19">
      <c r="A395" s="19"/>
      <c r="B395" s="19"/>
      <c r="C395" s="16"/>
      <c r="D395" s="36"/>
      <c r="E395" s="17"/>
      <c r="F395" s="18"/>
      <c r="H395" s="20"/>
      <c r="I395" s="20"/>
      <c r="J395" s="20"/>
      <c r="M395" s="17"/>
      <c r="P395" s="36"/>
      <c r="Q395" s="17"/>
      <c r="R395" s="17"/>
      <c r="S395" s="169"/>
    </row>
    <row r="396" spans="1:19">
      <c r="A396" s="19"/>
      <c r="B396" s="19"/>
      <c r="C396" s="16"/>
      <c r="D396" s="36"/>
      <c r="E396" s="17"/>
      <c r="F396" s="18"/>
      <c r="H396" s="20"/>
      <c r="I396" s="20"/>
      <c r="J396" s="20"/>
      <c r="M396" s="17"/>
      <c r="P396" s="36"/>
      <c r="Q396" s="17"/>
      <c r="R396" s="17"/>
      <c r="S396" s="169"/>
    </row>
    <row r="397" spans="1:19">
      <c r="A397" s="19"/>
      <c r="B397" s="19"/>
      <c r="C397" s="16"/>
      <c r="D397" s="36"/>
      <c r="E397" s="17"/>
      <c r="F397" s="18"/>
      <c r="H397" s="20"/>
      <c r="I397" s="20"/>
      <c r="J397" s="20"/>
      <c r="M397" s="17"/>
      <c r="P397" s="36"/>
      <c r="Q397" s="17"/>
      <c r="R397" s="17"/>
      <c r="S397" s="169"/>
    </row>
    <row r="398" spans="1:19">
      <c r="A398" s="19"/>
      <c r="B398" s="19"/>
      <c r="C398" s="16"/>
      <c r="D398" s="36"/>
      <c r="E398" s="17"/>
      <c r="F398" s="18"/>
      <c r="H398" s="20"/>
      <c r="I398" s="20"/>
      <c r="J398" s="20"/>
      <c r="M398" s="17"/>
      <c r="P398" s="36"/>
      <c r="Q398" s="17"/>
      <c r="R398" s="17"/>
      <c r="S398" s="169"/>
    </row>
    <row r="399" spans="1:19">
      <c r="A399" s="19"/>
      <c r="B399" s="19"/>
      <c r="C399" s="16"/>
      <c r="D399" s="36"/>
      <c r="E399" s="17"/>
      <c r="F399" s="18"/>
      <c r="H399" s="20"/>
      <c r="I399" s="20"/>
      <c r="J399" s="20"/>
      <c r="M399" s="17"/>
      <c r="P399" s="36"/>
      <c r="Q399" s="17"/>
      <c r="R399" s="17"/>
      <c r="S399" s="169"/>
    </row>
    <row r="400" spans="1:19">
      <c r="A400" s="19"/>
      <c r="B400" s="19"/>
      <c r="C400" s="16"/>
      <c r="D400" s="36"/>
      <c r="E400" s="17"/>
      <c r="F400" s="18"/>
      <c r="H400" s="20"/>
      <c r="I400" s="20"/>
      <c r="J400" s="20"/>
      <c r="M400" s="17"/>
      <c r="P400" s="36"/>
      <c r="Q400" s="17"/>
      <c r="R400" s="17"/>
      <c r="S400" s="169"/>
    </row>
    <row r="401" spans="1:19">
      <c r="A401" s="19"/>
      <c r="B401" s="19"/>
      <c r="C401" s="16"/>
      <c r="D401" s="36"/>
      <c r="E401" s="17"/>
      <c r="F401" s="18"/>
      <c r="H401" s="20"/>
      <c r="I401" s="20"/>
      <c r="J401" s="20"/>
      <c r="M401" s="17"/>
      <c r="P401" s="36"/>
      <c r="Q401" s="17"/>
      <c r="R401" s="17"/>
      <c r="S401" s="169"/>
    </row>
    <row r="402" spans="1:19">
      <c r="A402" s="19"/>
      <c r="B402" s="19"/>
      <c r="C402" s="16"/>
      <c r="D402" s="36"/>
      <c r="E402" s="17"/>
      <c r="F402" s="18"/>
      <c r="H402" s="20"/>
      <c r="I402" s="20"/>
      <c r="J402" s="20"/>
      <c r="M402" s="17"/>
      <c r="P402" s="36"/>
      <c r="Q402" s="17"/>
      <c r="R402" s="17"/>
      <c r="S402" s="169"/>
    </row>
    <row r="403" spans="1:19">
      <c r="A403" s="19"/>
      <c r="B403" s="19"/>
      <c r="C403" s="16"/>
      <c r="D403" s="36"/>
      <c r="E403" s="17"/>
      <c r="F403" s="18"/>
      <c r="H403" s="20"/>
      <c r="I403" s="20"/>
      <c r="J403" s="20"/>
      <c r="M403" s="17"/>
      <c r="P403" s="36"/>
      <c r="Q403" s="17"/>
      <c r="R403" s="17"/>
      <c r="S403" s="169"/>
    </row>
    <row r="404" spans="1:19">
      <c r="A404" s="19"/>
      <c r="B404" s="19"/>
      <c r="C404" s="16"/>
      <c r="D404" s="36"/>
      <c r="E404" s="17"/>
      <c r="F404" s="18"/>
      <c r="H404" s="20"/>
      <c r="I404" s="20"/>
      <c r="J404" s="20"/>
      <c r="M404" s="17"/>
      <c r="P404" s="36"/>
      <c r="Q404" s="17"/>
      <c r="R404" s="17"/>
      <c r="S404" s="169"/>
    </row>
    <row r="405" spans="1:19">
      <c r="A405" s="19"/>
      <c r="B405" s="19"/>
      <c r="C405" s="16"/>
      <c r="D405" s="36"/>
      <c r="E405" s="17"/>
      <c r="F405" s="18"/>
      <c r="H405" s="20"/>
      <c r="I405" s="20"/>
      <c r="J405" s="20"/>
      <c r="M405" s="17"/>
      <c r="P405" s="36"/>
      <c r="Q405" s="17"/>
      <c r="R405" s="17"/>
      <c r="S405" s="169"/>
    </row>
    <row r="406" spans="1:19">
      <c r="A406" s="19"/>
      <c r="B406" s="19"/>
      <c r="C406" s="16"/>
      <c r="D406" s="36"/>
      <c r="E406" s="17"/>
      <c r="F406" s="18"/>
      <c r="H406" s="20"/>
      <c r="I406" s="20"/>
      <c r="J406" s="20"/>
      <c r="M406" s="17"/>
      <c r="P406" s="36"/>
      <c r="Q406" s="17"/>
      <c r="R406" s="17"/>
      <c r="S406" s="169"/>
    </row>
    <row r="407" spans="1:19">
      <c r="A407" s="19"/>
      <c r="B407" s="19"/>
      <c r="C407" s="16"/>
      <c r="D407" s="36"/>
      <c r="E407" s="17"/>
      <c r="F407" s="18"/>
      <c r="H407" s="20"/>
      <c r="I407" s="20"/>
      <c r="J407" s="20"/>
      <c r="M407" s="17"/>
      <c r="P407" s="36"/>
      <c r="Q407" s="17"/>
      <c r="R407" s="17"/>
      <c r="S407" s="169"/>
    </row>
    <row r="408" spans="1:19">
      <c r="A408" s="19"/>
      <c r="B408" s="19"/>
      <c r="C408" s="16"/>
      <c r="D408" s="36"/>
      <c r="E408" s="17"/>
      <c r="F408" s="18"/>
      <c r="H408" s="20"/>
      <c r="I408" s="20"/>
      <c r="J408" s="20"/>
      <c r="M408" s="17"/>
      <c r="P408" s="36"/>
      <c r="Q408" s="17"/>
      <c r="R408" s="17"/>
      <c r="S408" s="169"/>
    </row>
    <row r="409" spans="1:19">
      <c r="A409" s="19"/>
      <c r="B409" s="19"/>
      <c r="C409" s="16"/>
      <c r="D409" s="36"/>
      <c r="E409" s="17"/>
      <c r="F409" s="18"/>
      <c r="H409" s="20"/>
      <c r="I409" s="20"/>
      <c r="J409" s="20"/>
      <c r="M409" s="17"/>
      <c r="P409" s="36"/>
      <c r="Q409" s="17"/>
      <c r="R409" s="17"/>
      <c r="S409" s="169"/>
    </row>
    <row r="410" spans="1:19">
      <c r="A410" s="19"/>
      <c r="B410" s="19"/>
      <c r="C410" s="16"/>
      <c r="D410" s="36"/>
      <c r="E410" s="17"/>
      <c r="F410" s="18"/>
      <c r="H410" s="20"/>
      <c r="I410" s="20"/>
      <c r="J410" s="20"/>
      <c r="M410" s="17"/>
      <c r="P410" s="36"/>
      <c r="Q410" s="17"/>
      <c r="R410" s="17"/>
      <c r="S410" s="169"/>
    </row>
    <row r="411" spans="1:19">
      <c r="A411" s="19"/>
      <c r="B411" s="19"/>
      <c r="C411" s="16"/>
      <c r="D411" s="36"/>
      <c r="E411" s="17"/>
      <c r="F411" s="18"/>
      <c r="H411" s="20"/>
      <c r="I411" s="20"/>
      <c r="J411" s="20"/>
      <c r="M411" s="17"/>
      <c r="P411" s="36"/>
      <c r="Q411" s="17"/>
      <c r="R411" s="17"/>
      <c r="S411" s="169"/>
    </row>
    <row r="412" spans="1:19">
      <c r="A412" s="19"/>
      <c r="B412" s="19"/>
      <c r="C412" s="16"/>
      <c r="D412" s="36"/>
      <c r="E412" s="17"/>
      <c r="F412" s="18"/>
      <c r="H412" s="20"/>
      <c r="I412" s="20"/>
      <c r="J412" s="20"/>
      <c r="M412" s="17"/>
      <c r="P412" s="36"/>
      <c r="Q412" s="17"/>
      <c r="R412" s="17"/>
      <c r="S412" s="169"/>
    </row>
    <row r="413" spans="1:19">
      <c r="A413" s="19"/>
      <c r="B413" s="19"/>
      <c r="C413" s="16"/>
      <c r="D413" s="36"/>
      <c r="E413" s="17"/>
      <c r="F413" s="18"/>
      <c r="H413" s="20"/>
      <c r="I413" s="20"/>
      <c r="J413" s="20"/>
      <c r="M413" s="17"/>
      <c r="P413" s="36"/>
      <c r="Q413" s="17"/>
      <c r="R413" s="17"/>
      <c r="S413" s="169"/>
    </row>
    <row r="414" spans="1:19">
      <c r="A414" s="19"/>
      <c r="B414" s="19"/>
      <c r="C414" s="16"/>
      <c r="D414" s="36"/>
      <c r="E414" s="17"/>
      <c r="F414" s="18"/>
      <c r="H414" s="20"/>
      <c r="I414" s="20"/>
      <c r="J414" s="20"/>
      <c r="M414" s="17"/>
      <c r="P414" s="36"/>
      <c r="Q414" s="17"/>
      <c r="R414" s="17"/>
      <c r="S414" s="169"/>
    </row>
    <row r="415" spans="1:19">
      <c r="A415" s="19"/>
      <c r="B415" s="19"/>
      <c r="C415" s="16"/>
      <c r="D415" s="36"/>
      <c r="E415" s="17"/>
      <c r="F415" s="18"/>
      <c r="H415" s="20"/>
      <c r="I415" s="20"/>
      <c r="J415" s="20"/>
      <c r="M415" s="17"/>
      <c r="P415" s="36"/>
      <c r="Q415" s="17"/>
      <c r="R415" s="17"/>
      <c r="S415" s="169"/>
    </row>
    <row r="416" spans="1:19">
      <c r="A416" s="19"/>
      <c r="B416" s="19"/>
      <c r="C416" s="16"/>
      <c r="D416" s="36"/>
      <c r="E416" s="17"/>
      <c r="F416" s="18"/>
      <c r="H416" s="20"/>
      <c r="I416" s="20"/>
      <c r="J416" s="20"/>
      <c r="M416" s="17"/>
      <c r="P416" s="36"/>
      <c r="Q416" s="17"/>
      <c r="R416" s="17"/>
      <c r="S416" s="169"/>
    </row>
    <row r="417" spans="1:19">
      <c r="A417" s="19"/>
      <c r="B417" s="19"/>
      <c r="C417" s="16"/>
      <c r="D417" s="36"/>
      <c r="E417" s="17"/>
      <c r="F417" s="18"/>
      <c r="H417" s="20"/>
      <c r="I417" s="20"/>
      <c r="J417" s="20"/>
      <c r="M417" s="17"/>
      <c r="P417" s="36"/>
      <c r="Q417" s="17"/>
      <c r="R417" s="17"/>
      <c r="S417" s="169"/>
    </row>
    <row r="418" spans="1:19">
      <c r="A418" s="19"/>
      <c r="B418" s="19"/>
      <c r="C418" s="16"/>
      <c r="D418" s="36"/>
      <c r="E418" s="17"/>
      <c r="F418" s="18"/>
      <c r="H418" s="20"/>
      <c r="I418" s="20"/>
      <c r="J418" s="20"/>
      <c r="M418" s="17"/>
      <c r="P418" s="36"/>
      <c r="Q418" s="17"/>
      <c r="R418" s="17"/>
      <c r="S418" s="169"/>
    </row>
    <row r="419" spans="1:19">
      <c r="A419" s="19"/>
      <c r="B419" s="19"/>
      <c r="C419" s="16"/>
      <c r="D419" s="36"/>
      <c r="E419" s="17"/>
      <c r="F419" s="18"/>
      <c r="H419" s="20"/>
      <c r="I419" s="20"/>
      <c r="J419" s="20"/>
      <c r="M419" s="17"/>
      <c r="P419" s="36"/>
      <c r="Q419" s="17"/>
      <c r="R419" s="17"/>
      <c r="S419" s="169"/>
    </row>
    <row r="420" spans="1:19">
      <c r="A420" s="19"/>
      <c r="B420" s="19"/>
      <c r="C420" s="16"/>
      <c r="D420" s="36"/>
      <c r="E420" s="17"/>
      <c r="F420" s="18"/>
      <c r="H420" s="20"/>
      <c r="I420" s="20"/>
      <c r="J420" s="20"/>
      <c r="M420" s="17"/>
      <c r="P420" s="36"/>
      <c r="Q420" s="17"/>
      <c r="R420" s="17"/>
      <c r="S420" s="169"/>
    </row>
    <row r="421" spans="1:19">
      <c r="A421" s="19"/>
      <c r="B421" s="19"/>
      <c r="C421" s="16"/>
      <c r="D421" s="36"/>
      <c r="E421" s="17"/>
      <c r="F421" s="18"/>
      <c r="H421" s="20"/>
      <c r="I421" s="20"/>
      <c r="J421" s="20"/>
      <c r="M421" s="17"/>
      <c r="P421" s="36"/>
      <c r="Q421" s="17"/>
      <c r="R421" s="17"/>
      <c r="S421" s="169"/>
    </row>
    <row r="422" spans="1:19">
      <c r="A422" s="19"/>
      <c r="B422" s="19"/>
      <c r="C422" s="16"/>
      <c r="D422" s="36"/>
      <c r="E422" s="17"/>
      <c r="F422" s="18"/>
      <c r="H422" s="20"/>
      <c r="I422" s="20"/>
      <c r="J422" s="20"/>
      <c r="M422" s="17"/>
      <c r="P422" s="36"/>
      <c r="Q422" s="17"/>
      <c r="R422" s="17"/>
      <c r="S422" s="169"/>
    </row>
    <row r="423" spans="1:19">
      <c r="A423" s="19"/>
      <c r="B423" s="19"/>
      <c r="C423" s="16"/>
      <c r="D423" s="36"/>
      <c r="E423" s="17"/>
      <c r="F423" s="18"/>
      <c r="H423" s="20"/>
      <c r="I423" s="20"/>
      <c r="J423" s="20"/>
      <c r="M423" s="17"/>
      <c r="P423" s="36"/>
      <c r="Q423" s="17"/>
      <c r="R423" s="17"/>
      <c r="S423" s="169"/>
    </row>
    <row r="424" spans="1:19">
      <c r="A424" s="19"/>
      <c r="B424" s="19"/>
      <c r="C424" s="16"/>
      <c r="D424" s="36"/>
      <c r="E424" s="17"/>
      <c r="F424" s="18"/>
      <c r="H424" s="20"/>
      <c r="I424" s="20"/>
      <c r="J424" s="20"/>
      <c r="M424" s="17"/>
      <c r="P424" s="36"/>
      <c r="Q424" s="17"/>
      <c r="R424" s="17"/>
      <c r="S424" s="169"/>
    </row>
    <row r="425" spans="1:19">
      <c r="A425" s="19"/>
      <c r="B425" s="19"/>
      <c r="C425" s="16"/>
      <c r="D425" s="36"/>
      <c r="E425" s="17"/>
      <c r="F425" s="18"/>
      <c r="H425" s="20"/>
      <c r="I425" s="20"/>
      <c r="J425" s="20"/>
      <c r="M425" s="17"/>
      <c r="P425" s="36"/>
      <c r="Q425" s="17"/>
      <c r="R425" s="17"/>
      <c r="S425" s="169"/>
    </row>
    <row r="426" spans="1:19">
      <c r="A426" s="19"/>
      <c r="B426" s="19"/>
      <c r="C426" s="16"/>
      <c r="D426" s="36"/>
      <c r="E426" s="17"/>
      <c r="F426" s="18"/>
      <c r="H426" s="20"/>
      <c r="I426" s="20"/>
      <c r="J426" s="20"/>
      <c r="M426" s="17"/>
      <c r="P426" s="36"/>
      <c r="Q426" s="17"/>
      <c r="R426" s="17"/>
      <c r="S426" s="169"/>
    </row>
    <row r="427" spans="1:19">
      <c r="A427" s="19"/>
      <c r="B427" s="19"/>
      <c r="C427" s="16"/>
      <c r="D427" s="36"/>
      <c r="E427" s="17"/>
      <c r="F427" s="18"/>
      <c r="H427" s="20"/>
      <c r="I427" s="20"/>
      <c r="J427" s="20"/>
      <c r="M427" s="17"/>
      <c r="P427" s="36"/>
      <c r="Q427" s="17"/>
      <c r="R427" s="17"/>
      <c r="S427" s="169"/>
    </row>
    <row r="428" spans="1:19">
      <c r="A428" s="19"/>
      <c r="B428" s="19"/>
      <c r="C428" s="16"/>
      <c r="D428" s="36"/>
      <c r="E428" s="17"/>
      <c r="F428" s="18"/>
      <c r="H428" s="20"/>
      <c r="I428" s="20"/>
      <c r="J428" s="20"/>
      <c r="M428" s="17"/>
      <c r="P428" s="36"/>
      <c r="Q428" s="17"/>
      <c r="R428" s="17"/>
      <c r="S428" s="169"/>
    </row>
    <row r="429" spans="1:19">
      <c r="A429" s="19"/>
      <c r="B429" s="19"/>
      <c r="C429" s="16"/>
      <c r="D429" s="36"/>
      <c r="E429" s="17"/>
      <c r="F429" s="18"/>
      <c r="H429" s="20"/>
      <c r="I429" s="20"/>
      <c r="J429" s="20"/>
      <c r="M429" s="17"/>
      <c r="P429" s="36"/>
      <c r="Q429" s="17"/>
      <c r="R429" s="17"/>
      <c r="S429" s="169"/>
    </row>
    <row r="430" spans="1:19">
      <c r="A430" s="19"/>
      <c r="B430" s="19"/>
      <c r="C430" s="16"/>
      <c r="D430" s="36"/>
      <c r="E430" s="17"/>
      <c r="F430" s="18"/>
      <c r="H430" s="20"/>
      <c r="I430" s="20"/>
      <c r="J430" s="20"/>
      <c r="M430" s="17"/>
      <c r="P430" s="36"/>
      <c r="Q430" s="17"/>
      <c r="R430" s="17"/>
      <c r="S430" s="169"/>
    </row>
    <row r="431" spans="1:19">
      <c r="A431" s="19"/>
      <c r="B431" s="19"/>
      <c r="C431" s="16"/>
      <c r="D431" s="36"/>
      <c r="E431" s="17"/>
      <c r="F431" s="18"/>
      <c r="H431" s="20"/>
      <c r="I431" s="20"/>
      <c r="J431" s="20"/>
      <c r="M431" s="17"/>
      <c r="P431" s="36"/>
      <c r="Q431" s="17"/>
      <c r="R431" s="17"/>
      <c r="S431" s="169"/>
    </row>
  </sheetData>
  <autoFilter ref="A1:S349" xr:uid="{E1E666FD-A140-4D58-B033-61553984BCBC}"/>
  <mergeCells count="363">
    <mergeCell ref="A364:S364"/>
    <mergeCell ref="A365:A367"/>
    <mergeCell ref="B365:B367"/>
    <mergeCell ref="C365:C367"/>
    <mergeCell ref="D365:D367"/>
    <mergeCell ref="F365:F367"/>
    <mergeCell ref="A368:S368"/>
    <mergeCell ref="A369:A376"/>
    <mergeCell ref="B369:B376"/>
    <mergeCell ref="C369:C376"/>
    <mergeCell ref="A355:S355"/>
    <mergeCell ref="A356:S356"/>
    <mergeCell ref="A357:A363"/>
    <mergeCell ref="B357:B363"/>
    <mergeCell ref="C357:C363"/>
    <mergeCell ref="D357:D360"/>
    <mergeCell ref="F357:F358"/>
    <mergeCell ref="F359:F360"/>
    <mergeCell ref="D361:D363"/>
    <mergeCell ref="F361:F363"/>
    <mergeCell ref="A346:A347"/>
    <mergeCell ref="B346:B347"/>
    <mergeCell ref="C346:C347"/>
    <mergeCell ref="D346:D347"/>
    <mergeCell ref="A348:S348"/>
    <mergeCell ref="A349:A354"/>
    <mergeCell ref="B349:B354"/>
    <mergeCell ref="C349:C354"/>
    <mergeCell ref="D349:D350"/>
    <mergeCell ref="F349:F350"/>
    <mergeCell ref="F351:F354"/>
    <mergeCell ref="A338:S338"/>
    <mergeCell ref="A339:A342"/>
    <mergeCell ref="B339:B344"/>
    <mergeCell ref="C339:C344"/>
    <mergeCell ref="F339:F342"/>
    <mergeCell ref="A343:A344"/>
    <mergeCell ref="C334:C336"/>
    <mergeCell ref="A337:S337"/>
    <mergeCell ref="A345:S345"/>
    <mergeCell ref="A328:A329"/>
    <mergeCell ref="B328:B329"/>
    <mergeCell ref="C328:C329"/>
    <mergeCell ref="D328:D329"/>
    <mergeCell ref="F328:F329"/>
    <mergeCell ref="A330:S330"/>
    <mergeCell ref="A332:S332"/>
    <mergeCell ref="A333:S333"/>
    <mergeCell ref="A334:A336"/>
    <mergeCell ref="B334:B336"/>
    <mergeCell ref="D334:D336"/>
    <mergeCell ref="F334:F336"/>
    <mergeCell ref="A322:S322"/>
    <mergeCell ref="A323:A326"/>
    <mergeCell ref="B323:B326"/>
    <mergeCell ref="C323:C326"/>
    <mergeCell ref="F323:F326"/>
    <mergeCell ref="D325:D326"/>
    <mergeCell ref="A319:A320"/>
    <mergeCell ref="A321:S321"/>
    <mergeCell ref="A327:S327"/>
    <mergeCell ref="A310:A315"/>
    <mergeCell ref="B310:B315"/>
    <mergeCell ref="C310:C315"/>
    <mergeCell ref="D310:D311"/>
    <mergeCell ref="F310:F312"/>
    <mergeCell ref="D313:D314"/>
    <mergeCell ref="F313:F315"/>
    <mergeCell ref="A316:S316"/>
    <mergeCell ref="A317:A318"/>
    <mergeCell ref="B317:B320"/>
    <mergeCell ref="C317:C320"/>
    <mergeCell ref="D317:D320"/>
    <mergeCell ref="F317:F318"/>
    <mergeCell ref="F319:F320"/>
    <mergeCell ref="A302:S302"/>
    <mergeCell ref="A303:A308"/>
    <mergeCell ref="B303:B308"/>
    <mergeCell ref="C303:C308"/>
    <mergeCell ref="D303:D304"/>
    <mergeCell ref="F303:F305"/>
    <mergeCell ref="D306:D307"/>
    <mergeCell ref="F306:F308"/>
    <mergeCell ref="A309:S309"/>
    <mergeCell ref="A285:S285"/>
    <mergeCell ref="A298:S298"/>
    <mergeCell ref="A299:A301"/>
    <mergeCell ref="B299:B301"/>
    <mergeCell ref="C299:C301"/>
    <mergeCell ref="D299:D300"/>
    <mergeCell ref="F299:F301"/>
    <mergeCell ref="A286:A289"/>
    <mergeCell ref="B286:B289"/>
    <mergeCell ref="C286:C289"/>
    <mergeCell ref="D286:D289"/>
    <mergeCell ref="F286:F289"/>
    <mergeCell ref="A290:S290"/>
    <mergeCell ref="A292:S292"/>
    <mergeCell ref="A293:A296"/>
    <mergeCell ref="B293:B296"/>
    <mergeCell ref="C293:C296"/>
    <mergeCell ref="D293:D296"/>
    <mergeCell ref="F293:F296"/>
    <mergeCell ref="A297:S297"/>
    <mergeCell ref="A266:S266"/>
    <mergeCell ref="A267:A269"/>
    <mergeCell ref="B267:B269"/>
    <mergeCell ref="C267:C269"/>
    <mergeCell ref="A270:S270"/>
    <mergeCell ref="A271:A273"/>
    <mergeCell ref="B271:B273"/>
    <mergeCell ref="C271:C273"/>
    <mergeCell ref="A274:A284"/>
    <mergeCell ref="A254:A256"/>
    <mergeCell ref="B254:B256"/>
    <mergeCell ref="C254:C256"/>
    <mergeCell ref="A257:S257"/>
    <mergeCell ref="A258:A260"/>
    <mergeCell ref="B258:B260"/>
    <mergeCell ref="C258:C260"/>
    <mergeCell ref="A261:S261"/>
    <mergeCell ref="A262:A265"/>
    <mergeCell ref="B262:B265"/>
    <mergeCell ref="C262:C265"/>
    <mergeCell ref="C233:C235"/>
    <mergeCell ref="A228:A231"/>
    <mergeCell ref="B228:B231"/>
    <mergeCell ref="A227:S227"/>
    <mergeCell ref="A233:A235"/>
    <mergeCell ref="B233:B235"/>
    <mergeCell ref="B250:B252"/>
    <mergeCell ref="C250:C252"/>
    <mergeCell ref="A253:S253"/>
    <mergeCell ref="A246:A248"/>
    <mergeCell ref="B246:B248"/>
    <mergeCell ref="C246:C248"/>
    <mergeCell ref="A249:S249"/>
    <mergeCell ref="A250:A252"/>
    <mergeCell ref="A236:S236"/>
    <mergeCell ref="A237:A239"/>
    <mergeCell ref="B237:B239"/>
    <mergeCell ref="C237:C239"/>
    <mergeCell ref="A240:S240"/>
    <mergeCell ref="A241:A244"/>
    <mergeCell ref="B241:B244"/>
    <mergeCell ref="C241:C244"/>
    <mergeCell ref="A245:S245"/>
    <mergeCell ref="A219:S219"/>
    <mergeCell ref="A220:A222"/>
    <mergeCell ref="B220:B222"/>
    <mergeCell ref="C220:C222"/>
    <mergeCell ref="A223:S223"/>
    <mergeCell ref="A224:A226"/>
    <mergeCell ref="B224:B226"/>
    <mergeCell ref="C224:C226"/>
    <mergeCell ref="C228:C231"/>
    <mergeCell ref="B207:B209"/>
    <mergeCell ref="C207:C209"/>
    <mergeCell ref="A210:S210"/>
    <mergeCell ref="A211:A213"/>
    <mergeCell ref="B211:B213"/>
    <mergeCell ref="C211:C213"/>
    <mergeCell ref="A214:S214"/>
    <mergeCell ref="A215:A218"/>
    <mergeCell ref="B215:B218"/>
    <mergeCell ref="C215:C218"/>
    <mergeCell ref="A174:S174"/>
    <mergeCell ref="A175:A176"/>
    <mergeCell ref="B175:B176"/>
    <mergeCell ref="C175:C176"/>
    <mergeCell ref="D175:D176"/>
    <mergeCell ref="F175:F176"/>
    <mergeCell ref="A178:S178"/>
    <mergeCell ref="A179:A181"/>
    <mergeCell ref="B179:B181"/>
    <mergeCell ref="C179:C186"/>
    <mergeCell ref="D179:D180"/>
    <mergeCell ref="F179:F181"/>
    <mergeCell ref="A182:A186"/>
    <mergeCell ref="B182:B186"/>
    <mergeCell ref="D182:D186"/>
    <mergeCell ref="F182:F186"/>
    <mergeCell ref="A177:S177"/>
    <mergeCell ref="A155:S155"/>
    <mergeCell ref="A156:A159"/>
    <mergeCell ref="B156:B159"/>
    <mergeCell ref="C156:C159"/>
    <mergeCell ref="D156:D159"/>
    <mergeCell ref="F156:F159"/>
    <mergeCell ref="A170:S170"/>
    <mergeCell ref="A171:A173"/>
    <mergeCell ref="B171:B173"/>
    <mergeCell ref="C171:C173"/>
    <mergeCell ref="D171:D172"/>
    <mergeCell ref="F171:F173"/>
    <mergeCell ref="A160:S160"/>
    <mergeCell ref="A161:A166"/>
    <mergeCell ref="B161:B169"/>
    <mergeCell ref="C161:C169"/>
    <mergeCell ref="D161:D166"/>
    <mergeCell ref="F161:F166"/>
    <mergeCell ref="A167:A169"/>
    <mergeCell ref="D167:D169"/>
    <mergeCell ref="F167:F169"/>
    <mergeCell ref="A147:S147"/>
    <mergeCell ref="A148:A151"/>
    <mergeCell ref="B148:B151"/>
    <mergeCell ref="C148:C151"/>
    <mergeCell ref="D148:D151"/>
    <mergeCell ref="F148:F151"/>
    <mergeCell ref="A152:S152"/>
    <mergeCell ref="A153:A154"/>
    <mergeCell ref="B153:B154"/>
    <mergeCell ref="C153:C154"/>
    <mergeCell ref="F153:F154"/>
    <mergeCell ref="A128:S128"/>
    <mergeCell ref="A129:A131"/>
    <mergeCell ref="B129:B131"/>
    <mergeCell ref="C129:C131"/>
    <mergeCell ref="A132:S132"/>
    <mergeCell ref="A133:A135"/>
    <mergeCell ref="B133:B135"/>
    <mergeCell ref="C133:C135"/>
    <mergeCell ref="A136:A146"/>
    <mergeCell ref="A116:A118"/>
    <mergeCell ref="B116:B118"/>
    <mergeCell ref="C116:C118"/>
    <mergeCell ref="A119:S119"/>
    <mergeCell ref="A120:A122"/>
    <mergeCell ref="B120:B122"/>
    <mergeCell ref="C120:C122"/>
    <mergeCell ref="A123:S123"/>
    <mergeCell ref="A124:A127"/>
    <mergeCell ref="B124:B127"/>
    <mergeCell ref="C124:C127"/>
    <mergeCell ref="A107:S107"/>
    <mergeCell ref="A108:A110"/>
    <mergeCell ref="B108:B110"/>
    <mergeCell ref="C108:C110"/>
    <mergeCell ref="A111:S111"/>
    <mergeCell ref="A112:A114"/>
    <mergeCell ref="B112:B114"/>
    <mergeCell ref="C112:C114"/>
    <mergeCell ref="A115:S115"/>
    <mergeCell ref="A95:A97"/>
    <mergeCell ref="B95:B97"/>
    <mergeCell ref="C95:C97"/>
    <mergeCell ref="A98:S98"/>
    <mergeCell ref="A99:A101"/>
    <mergeCell ref="B99:B101"/>
    <mergeCell ref="C99:C101"/>
    <mergeCell ref="A102:S102"/>
    <mergeCell ref="A103:A106"/>
    <mergeCell ref="B103:B106"/>
    <mergeCell ref="C103:C106"/>
    <mergeCell ref="A86:A88"/>
    <mergeCell ref="B86:B88"/>
    <mergeCell ref="C86:C88"/>
    <mergeCell ref="A85:S85"/>
    <mergeCell ref="A89:S89"/>
    <mergeCell ref="A90:A93"/>
    <mergeCell ref="B90:B93"/>
    <mergeCell ref="C90:C93"/>
    <mergeCell ref="A94:S94"/>
    <mergeCell ref="A73:A75"/>
    <mergeCell ref="B73:B75"/>
    <mergeCell ref="C73:C75"/>
    <mergeCell ref="A76:S76"/>
    <mergeCell ref="A77:A80"/>
    <mergeCell ref="B77:B80"/>
    <mergeCell ref="C77:C80"/>
    <mergeCell ref="A81:S81"/>
    <mergeCell ref="A82:A84"/>
    <mergeCell ref="B82:B84"/>
    <mergeCell ref="C82:C84"/>
    <mergeCell ref="A63:S63"/>
    <mergeCell ref="A64:A67"/>
    <mergeCell ref="B64:B67"/>
    <mergeCell ref="C64:C67"/>
    <mergeCell ref="A68:S68"/>
    <mergeCell ref="A69:A71"/>
    <mergeCell ref="B69:B71"/>
    <mergeCell ref="C69:C71"/>
    <mergeCell ref="A72:S72"/>
    <mergeCell ref="A52:S52"/>
    <mergeCell ref="A53:A56"/>
    <mergeCell ref="B53:B56"/>
    <mergeCell ref="C53:C56"/>
    <mergeCell ref="D53:D56"/>
    <mergeCell ref="F53:F56"/>
    <mergeCell ref="A57:S57"/>
    <mergeCell ref="A59:S59"/>
    <mergeCell ref="A60:A62"/>
    <mergeCell ref="B60:B62"/>
    <mergeCell ref="C60:C62"/>
    <mergeCell ref="A44:S44"/>
    <mergeCell ref="A45:A48"/>
    <mergeCell ref="B45:B48"/>
    <mergeCell ref="C45:C48"/>
    <mergeCell ref="D45:D48"/>
    <mergeCell ref="F45:F48"/>
    <mergeCell ref="A50:A51"/>
    <mergeCell ref="B50:B51"/>
    <mergeCell ref="C50:C51"/>
    <mergeCell ref="D50:D51"/>
    <mergeCell ref="F50:F51"/>
    <mergeCell ref="D19:D21"/>
    <mergeCell ref="F19:F21"/>
    <mergeCell ref="A22:A23"/>
    <mergeCell ref="F22:F23"/>
    <mergeCell ref="A24:S24"/>
    <mergeCell ref="A31:S31"/>
    <mergeCell ref="A32:A43"/>
    <mergeCell ref="B32:B43"/>
    <mergeCell ref="C32:C43"/>
    <mergeCell ref="A2:S2"/>
    <mergeCell ref="A3:A8"/>
    <mergeCell ref="B3:B14"/>
    <mergeCell ref="A15:S15"/>
    <mergeCell ref="A49:S49"/>
    <mergeCell ref="A26:S26"/>
    <mergeCell ref="A27:A30"/>
    <mergeCell ref="B27:B30"/>
    <mergeCell ref="C27:C30"/>
    <mergeCell ref="C3:C14"/>
    <mergeCell ref="D3:D9"/>
    <mergeCell ref="F3:F8"/>
    <mergeCell ref="I3:I7"/>
    <mergeCell ref="A10:A11"/>
    <mergeCell ref="D10:D11"/>
    <mergeCell ref="F10:F11"/>
    <mergeCell ref="A16:A17"/>
    <mergeCell ref="C16:C17"/>
    <mergeCell ref="D16:D17"/>
    <mergeCell ref="F16:F17"/>
    <mergeCell ref="A18:S18"/>
    <mergeCell ref="A19:A21"/>
    <mergeCell ref="B19:B23"/>
    <mergeCell ref="C19:C23"/>
    <mergeCell ref="A197:S197"/>
    <mergeCell ref="A232:S232"/>
    <mergeCell ref="A187:S187"/>
    <mergeCell ref="A188:A190"/>
    <mergeCell ref="B188:B190"/>
    <mergeCell ref="C188:C190"/>
    <mergeCell ref="D188:D190"/>
    <mergeCell ref="F188:F190"/>
    <mergeCell ref="A191:S191"/>
    <mergeCell ref="A192:A194"/>
    <mergeCell ref="B192:B194"/>
    <mergeCell ref="C192:C194"/>
    <mergeCell ref="D192:D194"/>
    <mergeCell ref="F192:F194"/>
    <mergeCell ref="A195:S195"/>
    <mergeCell ref="A198:A200"/>
    <mergeCell ref="B198:B200"/>
    <mergeCell ref="C198:C200"/>
    <mergeCell ref="A201:S201"/>
    <mergeCell ref="A202:A205"/>
    <mergeCell ref="B202:B205"/>
    <mergeCell ref="C202:C205"/>
    <mergeCell ref="A206:S206"/>
    <mergeCell ref="A207:A209"/>
  </mergeCells>
  <phoneticPr fontId="11" type="noConversion"/>
  <conditionalFormatting sqref="R3:R17 R32:R43 R73:R75 R77:R80 R82:R84 R86:R88 R95:R97 R103:R106 R108:R110 R120:R122 R124:R127 R129:R131 R133:R146 R211:R213 R215:R218 R220:R222 R224:R226 R233:R235 R241:R244 R246:R248 R258:R260 R262:R265 R267:R269">
    <cfRule type="containsText" dxfId="50" priority="54" operator="containsText" text="Not Started">
      <formula>NOT(ISERROR(SEARCH("Not Started",R3)))</formula>
    </cfRule>
    <cfRule type="containsText" dxfId="49" priority="53" operator="containsText" text="Completed">
      <formula>NOT(ISERROR(SEARCH("Completed",R3)))</formula>
    </cfRule>
    <cfRule type="containsText" dxfId="48" priority="52" operator="containsText" text="In Progress">
      <formula>NOT(ISERROR(SEARCH("In Progress",R3)))</formula>
    </cfRule>
  </conditionalFormatting>
  <conditionalFormatting sqref="R19:R23">
    <cfRule type="containsText" dxfId="47" priority="51" operator="containsText" text="Not Started">
      <formula>NOT(ISERROR(SEARCH("Not Started",R19)))</formula>
    </cfRule>
    <cfRule type="containsText" dxfId="46" priority="50" operator="containsText" text="Completed">
      <formula>NOT(ISERROR(SEARCH("Completed",R19)))</formula>
    </cfRule>
    <cfRule type="containsText" dxfId="45" priority="49" operator="containsText" text="In Progress">
      <formula>NOT(ISERROR(SEARCH("In Progress",R19)))</formula>
    </cfRule>
  </conditionalFormatting>
  <conditionalFormatting sqref="R25">
    <cfRule type="containsText" dxfId="44" priority="45" operator="containsText" text="Not Started">
      <formula>NOT(ISERROR(SEARCH("Not Started",R25)))</formula>
    </cfRule>
    <cfRule type="containsText" dxfId="43" priority="44" operator="containsText" text="Completed">
      <formula>NOT(ISERROR(SEARCH("Completed",R25)))</formula>
    </cfRule>
    <cfRule type="containsText" dxfId="42" priority="43" operator="containsText" text="In Progress">
      <formula>NOT(ISERROR(SEARCH("In Progress",R25)))</formula>
    </cfRule>
  </conditionalFormatting>
  <conditionalFormatting sqref="R27:R30">
    <cfRule type="containsText" dxfId="41" priority="47" operator="containsText" text="Completed">
      <formula>NOT(ISERROR(SEARCH("Completed",R27)))</formula>
    </cfRule>
    <cfRule type="containsText" dxfId="40" priority="46" operator="containsText" text="In Progress">
      <formula>NOT(ISERROR(SEARCH("In Progress",R27)))</formula>
    </cfRule>
    <cfRule type="containsText" dxfId="39" priority="48" operator="containsText" text="Not Started">
      <formula>NOT(ISERROR(SEARCH("Not Started",R27)))</formula>
    </cfRule>
  </conditionalFormatting>
  <conditionalFormatting sqref="R45:R48">
    <cfRule type="containsText" dxfId="38" priority="22" operator="containsText" text="In Progress">
      <formula>NOT(ISERROR(SEARCH("In Progress",R45)))</formula>
    </cfRule>
    <cfRule type="containsText" dxfId="37" priority="23" operator="containsText" text="Completed">
      <formula>NOT(ISERROR(SEARCH("Completed",R45)))</formula>
    </cfRule>
    <cfRule type="containsText" dxfId="36" priority="24" operator="containsText" text="Not Started">
      <formula>NOT(ISERROR(SEARCH("Not Started",R45)))</formula>
    </cfRule>
  </conditionalFormatting>
  <conditionalFormatting sqref="R50:R51">
    <cfRule type="containsText" dxfId="35" priority="28" operator="containsText" text="In Progress">
      <formula>NOT(ISERROR(SEARCH("In Progress",R50)))</formula>
    </cfRule>
    <cfRule type="containsText" dxfId="34" priority="29" operator="containsText" text="Completed">
      <formula>NOT(ISERROR(SEARCH("Completed",R50)))</formula>
    </cfRule>
    <cfRule type="containsText" dxfId="33" priority="30" operator="containsText" text="Not Started">
      <formula>NOT(ISERROR(SEARCH("Not Started",R50)))</formula>
    </cfRule>
  </conditionalFormatting>
  <conditionalFormatting sqref="R53:R56">
    <cfRule type="containsText" dxfId="32" priority="25" operator="containsText" text="In Progress">
      <formula>NOT(ISERROR(SEARCH("In Progress",R53)))</formula>
    </cfRule>
    <cfRule type="containsText" dxfId="31" priority="26" operator="containsText" text="Completed">
      <formula>NOT(ISERROR(SEARCH("Completed",R53)))</formula>
    </cfRule>
    <cfRule type="containsText" dxfId="30" priority="27" operator="containsText" text="Not Started">
      <formula>NOT(ISERROR(SEARCH("Not Started",R53)))</formula>
    </cfRule>
  </conditionalFormatting>
  <conditionalFormatting sqref="R58 R64:R67 R69:R71 R90:R93 R99:R101 R116:R118 R153:R154 R171:R173 R175:R176 R180:R186 R188:R190 R192:R194 R196 R202:R205 R207:R209 R228:R231 R237:R239 R254:R256 R291 R299:R301 R307:R308 R310:R315 R317:R320 R323:R326 R328:R329 R331 R334:R336 R339:R344 R346:R347 R349:R354 R357:R363 R365:R367">
    <cfRule type="containsText" dxfId="29" priority="42" operator="containsText" text="Not Started">
      <formula>NOT(ISERROR(SEARCH("Not Started",R58)))</formula>
    </cfRule>
    <cfRule type="containsText" dxfId="28" priority="41" operator="containsText" text="Completed">
      <formula>NOT(ISERROR(SEARCH("Completed",R58)))</formula>
    </cfRule>
    <cfRule type="containsText" dxfId="27" priority="40" operator="containsText" text="In Progress">
      <formula>NOT(ISERROR(SEARCH("In Progress",R58)))</formula>
    </cfRule>
  </conditionalFormatting>
  <conditionalFormatting sqref="R112:R114">
    <cfRule type="containsText" dxfId="26" priority="4" operator="containsText" text="In Progress">
      <formula>NOT(ISERROR(SEARCH("In Progress",R112)))</formula>
    </cfRule>
    <cfRule type="containsText" dxfId="25" priority="5" operator="containsText" text="Completed">
      <formula>NOT(ISERROR(SEARCH("Completed",R112)))</formula>
    </cfRule>
    <cfRule type="containsText" dxfId="24" priority="6" operator="containsText" text="Not Started">
      <formula>NOT(ISERROR(SEARCH("Not Started",R112)))</formula>
    </cfRule>
  </conditionalFormatting>
  <conditionalFormatting sqref="R148:R151">
    <cfRule type="containsText" dxfId="23" priority="19" operator="containsText" text="In Progress">
      <formula>NOT(ISERROR(SEARCH("In Progress",R148)))</formula>
    </cfRule>
    <cfRule type="containsText" dxfId="22" priority="20" operator="containsText" text="Completed">
      <formula>NOT(ISERROR(SEARCH("Completed",R148)))</formula>
    </cfRule>
    <cfRule type="containsText" dxfId="21" priority="21" operator="containsText" text="Not Started">
      <formula>NOT(ISERROR(SEARCH("Not Started",R148)))</formula>
    </cfRule>
  </conditionalFormatting>
  <conditionalFormatting sqref="R156:R159">
    <cfRule type="containsText" dxfId="20" priority="18" operator="containsText" text="Not Started">
      <formula>NOT(ISERROR(SEARCH("Not Started",R156)))</formula>
    </cfRule>
    <cfRule type="containsText" dxfId="19" priority="17" operator="containsText" text="Completed">
      <formula>NOT(ISERROR(SEARCH("Completed",R156)))</formula>
    </cfRule>
    <cfRule type="containsText" dxfId="18" priority="16" operator="containsText" text="In Progress">
      <formula>NOT(ISERROR(SEARCH("In Progress",R156)))</formula>
    </cfRule>
  </conditionalFormatting>
  <conditionalFormatting sqref="R161:R169">
    <cfRule type="containsText" dxfId="17" priority="35" operator="containsText" text="Completed">
      <formula>NOT(ISERROR(SEARCH("Completed",R161)))</formula>
    </cfRule>
    <cfRule type="containsText" dxfId="16" priority="36" operator="containsText" text="Not Started">
      <formula>NOT(ISERROR(SEARCH("Not Started",R161)))</formula>
    </cfRule>
    <cfRule type="containsText" dxfId="15" priority="34" operator="containsText" text="In Progress">
      <formula>NOT(ISERROR(SEARCH("In Progress",R161)))</formula>
    </cfRule>
  </conditionalFormatting>
  <conditionalFormatting sqref="R250:R252">
    <cfRule type="containsText" dxfId="14" priority="1" operator="containsText" text="In Progress">
      <formula>NOT(ISERROR(SEARCH("In Progress",R250)))</formula>
    </cfRule>
    <cfRule type="containsText" dxfId="13" priority="2" operator="containsText" text="Completed">
      <formula>NOT(ISERROR(SEARCH("Completed",R250)))</formula>
    </cfRule>
    <cfRule type="containsText" dxfId="12" priority="3" operator="containsText" text="Not Started">
      <formula>NOT(ISERROR(SEARCH("Not Started",R250)))</formula>
    </cfRule>
  </conditionalFormatting>
  <conditionalFormatting sqref="R271:R284">
    <cfRule type="containsText" dxfId="11" priority="13" operator="containsText" text="In Progress">
      <formula>NOT(ISERROR(SEARCH("In Progress",R271)))</formula>
    </cfRule>
    <cfRule type="containsText" dxfId="10" priority="15" operator="containsText" text="Not Started">
      <formula>NOT(ISERROR(SEARCH("Not Started",R271)))</formula>
    </cfRule>
    <cfRule type="containsText" dxfId="9" priority="14" operator="containsText" text="Completed">
      <formula>NOT(ISERROR(SEARCH("Completed",R271)))</formula>
    </cfRule>
  </conditionalFormatting>
  <conditionalFormatting sqref="R286:R289">
    <cfRule type="containsText" dxfId="8" priority="12" operator="containsText" text="Not Started">
      <formula>NOT(ISERROR(SEARCH("Not Started",R286)))</formula>
    </cfRule>
    <cfRule type="containsText" dxfId="7" priority="11" operator="containsText" text="Completed">
      <formula>NOT(ISERROR(SEARCH("Completed",R286)))</formula>
    </cfRule>
    <cfRule type="containsText" dxfId="6" priority="10" operator="containsText" text="In Progress">
      <formula>NOT(ISERROR(SEARCH("In Progress",R286)))</formula>
    </cfRule>
  </conditionalFormatting>
  <conditionalFormatting sqref="R293:R296">
    <cfRule type="containsText" dxfId="5" priority="7" operator="containsText" text="In Progress">
      <formula>NOT(ISERROR(SEARCH("In Progress",R293)))</formula>
    </cfRule>
    <cfRule type="containsText" dxfId="4" priority="9" operator="containsText" text="Not Started">
      <formula>NOT(ISERROR(SEARCH("Not Started",R293)))</formula>
    </cfRule>
    <cfRule type="containsText" dxfId="3" priority="8" operator="containsText" text="Completed">
      <formula>NOT(ISERROR(SEARCH("Completed",R293)))</formula>
    </cfRule>
  </conditionalFormatting>
  <conditionalFormatting sqref="R369:R376">
    <cfRule type="containsText" dxfId="2" priority="33" operator="containsText" text="Not Started">
      <formula>NOT(ISERROR(SEARCH("Not Started",R369)))</formula>
    </cfRule>
    <cfRule type="containsText" dxfId="1" priority="32" operator="containsText" text="Completed">
      <formula>NOT(ISERROR(SEARCH("Completed",R369)))</formula>
    </cfRule>
    <cfRule type="containsText" dxfId="0" priority="31" operator="containsText" text="In Progress">
      <formula>NOT(ISERROR(SEARCH("In Progress",R369)))</formula>
    </cfRule>
  </conditionalFormatting>
  <hyperlinks>
    <hyperlink ref="P342:P344" r:id="rId1" display="PO19" xr:uid="{7DB31AAD-CA8E-424D-A0AC-DE742C118A86}"/>
  </hyperlinks>
  <pageMargins left="0.7" right="0.7" top="0.75" bottom="0.75" header="0.3" footer="0.3"/>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3A879B9-C351-4F58-AC95-6468ABAA8BF9}">
          <x14:formula1>
            <xm:f>Sheet2!$A$2:$A$4</xm:f>
          </x14:formula1>
          <xm:sqref>R365:R367 R19:R23 R27:R30 R25 R339:R344 R357:R363 R64:R67 R69:R71 R3:R17 R90:R93 R99:R101 R116:R118 R153:R159 R53:R56 R45:R48 R180:R186 R188:R190 R192:R194 R196 R317:R320 R50:R51 R32:R43 R171:R173 R175:R176 R58 R73:R75 R77:R80 R82:R84 R86:R88 R95:R97 R103:R106 R108:R110 R112:R114 R291:R296 R299:R301 R307:R308 R310:R315 R133:R151 R323:R326 R328:R329 R331 R334:R336 R346:R347 R349:R354 R120:R122 R161:R169 R369:R376 R202:R205 R207:R209 R228:R231 R237:R239 R254:R256 R211:R213 R215:R218 R220:R222 R224:R226 R233:R235 R241:R244 R246:R248 R250:R252 R258:R260 R124:R127 R129:R131 R262:R265 R267:R269 R271:R289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1b0056d-b3f4-4897-b96e-8b3c3d4eb2c9" xsi:nil="true"/>
    <lcf76f155ced4ddcb4097134ff3c332f xmlns="aa38a7ef-6a59-4642-a84b-b8f076cdae7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CB415695B8E641878A64E0643953AE" ma:contentTypeVersion="11" ma:contentTypeDescription="Create a new document." ma:contentTypeScope="" ma:versionID="76a3565ddd6b544287126d931b7c8638">
  <xsd:schema xmlns:xsd="http://www.w3.org/2001/XMLSchema" xmlns:xs="http://www.w3.org/2001/XMLSchema" xmlns:p="http://schemas.microsoft.com/office/2006/metadata/properties" xmlns:ns2="aa38a7ef-6a59-4642-a84b-b8f076cdae7c" xmlns:ns3="f1b0056d-b3f4-4897-b96e-8b3c3d4eb2c9" targetNamespace="http://schemas.microsoft.com/office/2006/metadata/properties" ma:root="true" ma:fieldsID="cd198db6d845603199523fbf71b88870" ns2:_="" ns3:_="">
    <xsd:import namespace="aa38a7ef-6a59-4642-a84b-b8f076cdae7c"/>
    <xsd:import namespace="f1b0056d-b3f4-4897-b96e-8b3c3d4eb2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8a7ef-6a59-4642-a84b-b8f076cdae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04e1e23-77e5-444a-9d7c-55bf8239e9f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b0056d-b3f4-4897-b96e-8b3c3d4eb2c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8dea61c-4559-4f89-87be-e1c2247c53b2}" ma:internalName="TaxCatchAll" ma:showField="CatchAllData" ma:web="f1b0056d-b3f4-4897-b96e-8b3c3d4eb2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F4BE69-7194-4C4E-86EE-C2F130FE28A8}"/>
</file>

<file path=customXml/itemProps2.xml><?xml version="1.0" encoding="utf-8"?>
<ds:datastoreItem xmlns:ds="http://schemas.openxmlformats.org/officeDocument/2006/customXml" ds:itemID="{36656295-1BD7-461D-B352-D3A9FC131F8A}"/>
</file>

<file path=customXml/itemProps3.xml><?xml version="1.0" encoding="utf-8"?>
<ds:datastoreItem xmlns:ds="http://schemas.openxmlformats.org/officeDocument/2006/customXml" ds:itemID="{8DAD0363-13AB-4BAC-9140-E62B95CA30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Supraja balachandar</dc:creator>
  <cp:keywords/>
  <dc:description/>
  <cp:lastModifiedBy/>
  <cp:revision/>
  <dcterms:created xsi:type="dcterms:W3CDTF">2024-09-04T08:25:04Z</dcterms:created>
  <dcterms:modified xsi:type="dcterms:W3CDTF">2026-03-10T11:25:30Z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0x010100B6CB415695B8E641878A64E0643953AE</vt:lpwstr>
  </property>
  <property fmtid="{D5CDD505-2E9C-101B-9397-08002B2CF9AE}" pid="3" name="MediaServiceImageTags">
    <vt:lpwstr/>
  </property>
</Properties>
</file>